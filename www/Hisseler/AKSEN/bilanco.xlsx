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Yunvest\Hisse_Verileri\Bilanco\"/>
    </mc:Choice>
  </mc:AlternateContent>
  <xr:revisionPtr revIDLastSave="0" documentId="13_ncr:1_{1A64057B-152B-456E-A613-633A203EEC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0" i="1" l="1"/>
  <c r="E54" i="4"/>
  <c r="D54" i="4"/>
  <c r="C56" i="4"/>
  <c r="B56" i="4"/>
  <c r="C54" i="4"/>
  <c r="B54" i="4"/>
  <c r="E56" i="4" l="1"/>
  <c r="D56" i="4"/>
</calcChain>
</file>

<file path=xl/sharedStrings.xml><?xml version="1.0" encoding="utf-8"?>
<sst xmlns="http://schemas.openxmlformats.org/spreadsheetml/2006/main" count="911" uniqueCount="274">
  <si>
    <t>Kalem</t>
  </si>
  <si>
    <t>2026/3</t>
  </si>
  <si>
    <t>2025/12</t>
  </si>
  <si>
    <t>2025/9</t>
  </si>
  <si>
    <t>2025/6</t>
  </si>
  <si>
    <t>2025/3</t>
  </si>
  <si>
    <t>2024/12</t>
  </si>
  <si>
    <t>2024/9</t>
  </si>
  <si>
    <t>2024/6</t>
  </si>
  <si>
    <t>2024/3</t>
  </si>
  <si>
    <t>2023/12</t>
  </si>
  <si>
    <t>2023/9</t>
  </si>
  <si>
    <t>2023/6</t>
  </si>
  <si>
    <t>2023/3</t>
  </si>
  <si>
    <t>2022/12</t>
  </si>
  <si>
    <t>2022/9</t>
  </si>
  <si>
    <t>2022/6</t>
  </si>
  <si>
    <t>2022/3</t>
  </si>
  <si>
    <t>2021/12</t>
  </si>
  <si>
    <t>2021/9</t>
  </si>
  <si>
    <t>2021/6</t>
  </si>
  <si>
    <t>2021/3</t>
  </si>
  <si>
    <t>2020/12</t>
  </si>
  <si>
    <t>2020/9</t>
  </si>
  <si>
    <t>2020/6</t>
  </si>
  <si>
    <t>2020/3</t>
  </si>
  <si>
    <t>2019/12</t>
  </si>
  <si>
    <t>2019/9</t>
  </si>
  <si>
    <t>2019/6</t>
  </si>
  <si>
    <t>2019/3</t>
  </si>
  <si>
    <t>2018/12</t>
  </si>
  <si>
    <t>2018/9</t>
  </si>
  <si>
    <t>2018/6</t>
  </si>
  <si>
    <t>2018/3</t>
  </si>
  <si>
    <t>2017/12</t>
  </si>
  <si>
    <t>2017/9</t>
  </si>
  <si>
    <t>2017/6</t>
  </si>
  <si>
    <t>2017/3</t>
  </si>
  <si>
    <t>2016/12</t>
  </si>
  <si>
    <t>2016/9</t>
  </si>
  <si>
    <t>2016/6</t>
  </si>
  <si>
    <t>Dönen Varlıklar</t>
  </si>
  <si>
    <t xml:space="preserve">    Nakit ve Nakit Benzerleri</t>
  </si>
  <si>
    <t xml:space="preserve">    Gayrimenkul Projeleri Kapsamında Açılan Nakit Hesapları</t>
  </si>
  <si>
    <t xml:space="preserve">    Finansal Yatırımlar</t>
  </si>
  <si>
    <t xml:space="preserve">    Teminata Verilen Finansal Varlıklar</t>
  </si>
  <si>
    <t xml:space="preserve">    Ticari Alacaklar</t>
  </si>
  <si>
    <t xml:space="preserve">    Finans Sektörü Faaliyetlerinden Alacaklar</t>
  </si>
  <si>
    <t xml:space="preserve">    Türkiye Cumhuriyet Merkez Bankası Hesabı</t>
  </si>
  <si>
    <t xml:space="preserve">    Diğer Alacaklar</t>
  </si>
  <si>
    <t xml:space="preserve">    Müşteri Sözleşmelerinden Doğan Varlıklar</t>
  </si>
  <si>
    <t xml:space="preserve">    İmtiyaz Sözleşmelerine İlişkin Finansal Varlıklar</t>
  </si>
  <si>
    <t xml:space="preserve">    Türev Araçlar</t>
  </si>
  <si>
    <t xml:space="preserve">    Stoklar</t>
  </si>
  <si>
    <t xml:space="preserve">    Proje Halindeki Stoklar</t>
  </si>
  <si>
    <t xml:space="preserve">    Canlı Varlıklar</t>
  </si>
  <si>
    <t xml:space="preserve">    Peşin Ödenmiş Giderler</t>
  </si>
  <si>
    <t xml:space="preserve">    Ertelenmiş Sigortacılık Üretim Giderleri</t>
  </si>
  <si>
    <t xml:space="preserve">    Cari Dönem Vergisiyle İlgili Varlıklar</t>
  </si>
  <si>
    <t xml:space="preserve">    Nakit Dışı Serbest Kullanılabilir Teminatlar</t>
  </si>
  <si>
    <t xml:space="preserve">    Diğer Dönen Varlıklar</t>
  </si>
  <si>
    <t xml:space="preserve">    Satış Amacıyla Elde Tutulan Duran Varlıklar</t>
  </si>
  <si>
    <t xml:space="preserve">    Ortaklara Dağıtılmak Üzere Elde Tutulan Duran Varlıklar</t>
  </si>
  <si>
    <t xml:space="preserve">    Toplam Dönen Varlıklar</t>
  </si>
  <si>
    <t>Duran Varlıklar</t>
  </si>
  <si>
    <t xml:space="preserve">    İştirakler, İş Ortaklıkları ve Bağlı Ortaklıklardaki Yatırımlar</t>
  </si>
  <si>
    <t xml:space="preserve">    Özkaynak Yöntemiyle Değerlenen Yatırımlar</t>
  </si>
  <si>
    <t xml:space="preserve">    Yatırım Amaçlı Gayrimenkuller</t>
  </si>
  <si>
    <t xml:space="preserve">    Proje Halindeki Yatırım Amaçlı Gayrimenkuller</t>
  </si>
  <si>
    <t xml:space="preserve">    Maddi Duran Varlıklar</t>
  </si>
  <si>
    <t xml:space="preserve">    Kullanım Hakkı Varlıkları</t>
  </si>
  <si>
    <t xml:space="preserve">    Maddi Olmayan Duran Varlıklar</t>
  </si>
  <si>
    <t xml:space="preserve">    Ertelenmiş Vergi Varlığı</t>
  </si>
  <si>
    <t xml:space="preserve">    Cari Dönem Vergisiyle İlgili Duran Varlıklar</t>
  </si>
  <si>
    <t xml:space="preserve">    Diğer Duran Varlıklar</t>
  </si>
  <si>
    <t xml:space="preserve">    Toplam Duran Varlıklar</t>
  </si>
  <si>
    <t xml:space="preserve">    Toplam Varlıklar</t>
  </si>
  <si>
    <t>Kısa Vadeli Yükümlülükler</t>
  </si>
  <si>
    <t xml:space="preserve">    Finansal Borçlar</t>
  </si>
  <si>
    <t xml:space="preserve">    Diğer Finansal Yükümlülükler</t>
  </si>
  <si>
    <t xml:space="preserve">    Ticari Borçlar</t>
  </si>
  <si>
    <t xml:space="preserve">    Finans Sektörü Faaliyetlerinden Borçlar</t>
  </si>
  <si>
    <t xml:space="preserve">    Çalışanlara Sağlanan Faydalar Kapsamında Borçlar</t>
  </si>
  <si>
    <t xml:space="preserve">    Diğer Borçlar</t>
  </si>
  <si>
    <t xml:space="preserve">    Müşteri Sözleşmelerinden Doğan Yükümlülükler</t>
  </si>
  <si>
    <t xml:space="preserve">    Özkaynak Yöntemiyle Değerlenen Yatırımlardan Yükümlülükler</t>
  </si>
  <si>
    <t xml:space="preserve">    Devlet Teşvik ve Yardımları</t>
  </si>
  <si>
    <t xml:space="preserve">    Ertelenmiş Gelirler</t>
  </si>
  <si>
    <t xml:space="preserve">    Dönem Karı Vergi Yükümlülüğü</t>
  </si>
  <si>
    <t xml:space="preserve">    Kısa Vadeli Karşılıklar</t>
  </si>
  <si>
    <t xml:space="preserve">    Diğer Kısa Vadeli Yükümlülükler</t>
  </si>
  <si>
    <t xml:space="preserve">    Satış Amaçlı Sınıflandırılan Varlık Gruplarına İlişkin Yükümlülükler</t>
  </si>
  <si>
    <t xml:space="preserve">    Ortaklara Dağıtılmak Üzere Elde Tutulan Varlık Gruplarına İlişkin Yükümlülükler</t>
  </si>
  <si>
    <t xml:space="preserve">    Toplam Kısa Vadeli Yükümlülükler</t>
  </si>
  <si>
    <t>Uzun Vadeli Yükümlülükler</t>
  </si>
  <si>
    <t xml:space="preserve">    Uzun vadeli Karşılıklar</t>
  </si>
  <si>
    <t xml:space="preserve">    Cari Dönem Vergisiyle İlgili Borçlar</t>
  </si>
  <si>
    <t xml:space="preserve">    Ertelenmiş Vergi Yükümlülüğü</t>
  </si>
  <si>
    <t xml:space="preserve">    Diğer Uzun Vadeli Yükümlülükler</t>
  </si>
  <si>
    <t xml:space="preserve">    Toplam Uzun Vadeli Yükümlülükler</t>
  </si>
  <si>
    <t>Özkaynaklar</t>
  </si>
  <si>
    <t xml:space="preserve">    Ana Ortaklığa Ait Özkaynaklar</t>
  </si>
  <si>
    <t xml:space="preserve">    Ödenmiş Sermaye</t>
  </si>
  <si>
    <t xml:space="preserve">    Sermaye Düzeltme Farkları</t>
  </si>
  <si>
    <t xml:space="preserve">    Birleşme Denkleştirme Hesabı</t>
  </si>
  <si>
    <t xml:space="preserve">    Pay Sahiplerinin İlave Sermaye Katkıları</t>
  </si>
  <si>
    <t xml:space="preserve">    Sermaye Avansı</t>
  </si>
  <si>
    <t xml:space="preserve">    Geri Alınmış Paylar (-)</t>
  </si>
  <si>
    <t xml:space="preserve">    Karşılıklı İştirak Sermaye Düzeltmesi (-)</t>
  </si>
  <si>
    <t xml:space="preserve">    Paylara İlişkin Primler (İskontolar)</t>
  </si>
  <si>
    <t xml:space="preserve">    Ortak Kontrole Tabi Teşebbüs veya İşletmeleri İçeren Birleşmelerin Etkisi</t>
  </si>
  <si>
    <t xml:space="preserve">    Pay Bazlı Ödemeler (-)</t>
  </si>
  <si>
    <t xml:space="preserve">    Kar veya Zararda Yeniden Sınıflandırılmayacak Birikmiş Diğer Kapsamlı Gelirler (Giderler)</t>
  </si>
  <si>
    <t xml:space="preserve">    Kar veya Zararda Yeniden Sınıflandırılacak Birikmiş Diğer Kapsamlı Gelirler (Giderler)</t>
  </si>
  <si>
    <t xml:space="preserve">    Kardan Ayrılan Kısıtlanmış Yedekler</t>
  </si>
  <si>
    <t xml:space="preserve">    Diğer Özkaynak Payları</t>
  </si>
  <si>
    <t xml:space="preserve">    Diğer Yedekler</t>
  </si>
  <si>
    <t xml:space="preserve">    Ödenen Kar Payı Avansları (Net) (-)</t>
  </si>
  <si>
    <t xml:space="preserve">    Geçmiş Yıllar Kar/Zararları</t>
  </si>
  <si>
    <t xml:space="preserve">    Dönem Net Kar/Zararı</t>
  </si>
  <si>
    <t xml:space="preserve">    Azınlık Payları</t>
  </si>
  <si>
    <t xml:space="preserve">    Toplam Özkaynaklar</t>
  </si>
  <si>
    <t xml:space="preserve">    Toplam Kaynaklar</t>
  </si>
  <si>
    <t xml:space="preserve">    Hedge Dahil Net Yabancı Para Pozisyonu</t>
  </si>
  <si>
    <t>2016/3</t>
  </si>
  <si>
    <t/>
  </si>
  <si>
    <t xml:space="preserve">    Satış Gelirleri</t>
  </si>
  <si>
    <t xml:space="preserve">    Toplam Hasılat</t>
  </si>
  <si>
    <t xml:space="preserve">    Yurt İçi Satışlar</t>
  </si>
  <si>
    <t xml:space="preserve">    Yurt Dışı Satışlar</t>
  </si>
  <si>
    <t xml:space="preserve">    Satışların Maliyeti (-)</t>
  </si>
  <si>
    <t xml:space="preserve">    Ticari Faaliyetlerden Brüt Kar (Zarar)</t>
  </si>
  <si>
    <t xml:space="preserve">    Faiz, Ücret, Prim, Komisyon ve Diğer Gelirler</t>
  </si>
  <si>
    <t xml:space="preserve">    Faiz, Ücret, Prim, Komisyon ve Diğer Giderler (-)</t>
  </si>
  <si>
    <t xml:space="preserve">    Finans Sektörü Faaliyetlerinden Brüt Kar (Zarar)</t>
  </si>
  <si>
    <t xml:space="preserve">    Canlı Varlıklar Gerçeğe Uygun Değer Farkları</t>
  </si>
  <si>
    <t xml:space="preserve">    Brüt Kar (Zarar)</t>
  </si>
  <si>
    <t xml:space="preserve">    Genel Yönetim Giderleri (-)</t>
  </si>
  <si>
    <t xml:space="preserve">    Pazarlama, Satış ve Dağıtım Giderleri (-)</t>
  </si>
  <si>
    <t xml:space="preserve">    Araştırma ve Geliştirme Giderleri (-)</t>
  </si>
  <si>
    <t xml:space="preserve">    Diğer Faaliyet Gelirleri</t>
  </si>
  <si>
    <t xml:space="preserve">    Diğer Faaliyet Giderleri (-)</t>
  </si>
  <si>
    <t xml:space="preserve">    Diğer Kazançlar (Kayıplar)</t>
  </si>
  <si>
    <t xml:space="preserve">    Faaliyet Karı (Zararı)</t>
  </si>
  <si>
    <t xml:space="preserve">    Ödenecek Kar Paylarının Defter Değeri ile Dağıtılan Nakit Dışı Varlıkların Değeri Arasındaki Fark</t>
  </si>
  <si>
    <t xml:space="preserve">    İtfa Edilmiş Maliyetinden Ölçülen Finansal Varlıkların Finansal Tablo Dışı Bırakılmasından Kaynaklanan Kazançlar (Kayıplar)</t>
  </si>
  <si>
    <t xml:space="preserve">    Yatırım Faaliyetlerinden Gelirler</t>
  </si>
  <si>
    <t xml:space="preserve">    Yatırım Faaliyetlerinden Giderler (-)</t>
  </si>
  <si>
    <t xml:space="preserve">    TFRS 9 Uyarınca Belirlenen Değer Düşüklüğü Kazançları (Zararları) ve Değer Düşüklüğü Zararlarının İptalleri</t>
  </si>
  <si>
    <t xml:space="preserve">    Özkaynak Yöntemiyle Değerlenen Yatırımların Karlarından (Zararlarından) Paylar</t>
  </si>
  <si>
    <t xml:space="preserve">    İştirakler, Müşterek Kontrol Edilen İşletmeler ve Bağlı Ortaklıklardan Diğer Gelirler (Giderler)</t>
  </si>
  <si>
    <t xml:space="preserve">    İtfa Edilmiş Maliyetinden Ölçülen Finansal Varlıkların Gerçeğe Uygun Değer Farkı Kar veya Zarara Yansıtılan Olarak Sınıflandırılmasından Kazançlar (Kayıplar)</t>
  </si>
  <si>
    <t xml:space="preserve">    Gerçeğe Uygun Değer Farkı Diğer Kapsamlı Gelire Yansıtılan Finansal Varlıkların Gerçeğe Uygun Değer Farkı Kar veya Zarara Yansıtılan Olarak Sınıflandırılmasından Kazançlar (Kayıplar)</t>
  </si>
  <si>
    <t xml:space="preserve">    Risk Pozisyonlarını Netleştiren Kalemler Grubuna Yönelik Finansal Riskten Korunma Kazançları (Kayıpları)</t>
  </si>
  <si>
    <t xml:space="preserve">    Finansman Geliri (Gideri) Öncesi Faaliyet Karı (Zararı)</t>
  </si>
  <si>
    <t xml:space="preserve">    (Esas Faaliyet Dışı) Finansal Gelirler</t>
  </si>
  <si>
    <t xml:space="preserve">    (Esas Faaliyet Dışı) Finansal Giderler (-)</t>
  </si>
  <si>
    <t xml:space="preserve">    Net Parasal Pozisyon Kazançları (Kayıpları)</t>
  </si>
  <si>
    <t xml:space="preserve">    Sürdürülen Faaliyetler Vergi Öncesi Karı (Zararı)</t>
  </si>
  <si>
    <t xml:space="preserve">    Sürdürülen Faaliyetler Vergi Geliri (Gideri)</t>
  </si>
  <si>
    <t xml:space="preserve">    Dönem Vergi Geliri (Gideri)</t>
  </si>
  <si>
    <t xml:space="preserve">    Ertelenmiş Vergi Geliri (Gideri)</t>
  </si>
  <si>
    <t xml:space="preserve">    Sürdürülen Faaliyetler Dönem Karı/Zararı</t>
  </si>
  <si>
    <t xml:space="preserve">    Durdurulan Faaliyetler Dönem Karı/Zararı</t>
  </si>
  <si>
    <t xml:space="preserve">    Dönem Karı (Zararı)</t>
  </si>
  <si>
    <t xml:space="preserve">    Ana Ortaklık Payları</t>
  </si>
  <si>
    <t xml:space="preserve">    Amortisman</t>
  </si>
  <si>
    <t xml:space="preserve">    İşletme Faaliyetlerinden Nakit Akışları</t>
  </si>
  <si>
    <t xml:space="preserve">    Dönem Net Karı (Zararı) Mutabakatı İle İlgili Düzeltmeler</t>
  </si>
  <si>
    <t xml:space="preserve">    Amortisman ve İtfa Gideri İle İlgili Düzeltmeler</t>
  </si>
  <si>
    <t xml:space="preserve">    Değer Düşüklüğü (İptali) İle İlgili Düzeltmeler</t>
  </si>
  <si>
    <t xml:space="preserve">    Karşılıklar İle İlgili Düzeltmeler</t>
  </si>
  <si>
    <t xml:space="preserve">    Kar Payı (Geliri) Gideri ile İlgili Düzeltmeler</t>
  </si>
  <si>
    <t xml:space="preserve">    Katılım (Kar) Payı ve Diğer Finansal Araçlardan (Gelirler) Giderler ile İlgili Düzeltmeler</t>
  </si>
  <si>
    <t xml:space="preserve">    Pazarlıklı Satın Alım Sonucu Oluşan Kazanç ile İlgili Düzeltmeler</t>
  </si>
  <si>
    <t xml:space="preserve">    Faiz (Gelirleri) ve Giderleri İle İlgili Düzeltmeler</t>
  </si>
  <si>
    <t xml:space="preserve">    Devlet Teşviklerinden Elde Edilen Gelirler ile İlgili Düzeltmeler</t>
  </si>
  <si>
    <t xml:space="preserve">    Takas İşlemlerinden Kaynaklanan Kayıplar (Kazançlar) ile İlgili Düzeltmeler</t>
  </si>
  <si>
    <t xml:space="preserve">    Gerçekleşmemiş Yabancı Para Çevrim Farkları İle İlgili Düzeltmeler</t>
  </si>
  <si>
    <t xml:space="preserve">    Pay Bazlı Ödemeler İle İlgili Düzeltmeler</t>
  </si>
  <si>
    <t xml:space="preserve">    Hibe Krediler ile İlgili Düzeltmeler</t>
  </si>
  <si>
    <t xml:space="preserve">    Gerçeğe Uygun Değer Kayıpları (Kazançları) İle İlgili Düzeltmeler</t>
  </si>
  <si>
    <t xml:space="preserve">    Özkaynak Yöntemiyle Değerlenen Yatırımların Dağıtılmamış Karları ile İlgili Düzeltmeler</t>
  </si>
  <si>
    <t xml:space="preserve">    Vergi (Geliri) Gideri İle İlgili Düzeltmeler</t>
  </si>
  <si>
    <t xml:space="preserve">    Nakit Dışı Kalemlere İlişkin Diğer Düzeltmeler</t>
  </si>
  <si>
    <t xml:space="preserve">    Duran Varlıkların Elden Çıkarılmasından Kaynaklanan Kayıplar (Kazançlar) İle İlgili Düzeltmeler</t>
  </si>
  <si>
    <t xml:space="preserve">    Satış Amaçlı veya Ortaklara Dağıtılmak Üzere Elde Tutulan Duran Varlıkların Elden Çıkarılmasından Kaynaklanan Kayıplar (Kazançlar) ile İlgili Düzeltmeler</t>
  </si>
  <si>
    <t xml:space="preserve">    İştirak, İş ortaklığı ve Finansal Yatırımların Elden Çıkarılmasından veya Paylarındaki Değişim Sebebi ile Oluşan Kayıplar (Kazançlar) ile İlgili Düzeltmeler</t>
  </si>
  <si>
    <t xml:space="preserve">    Bağlı Ortaklıkların veya Müşterek Faaliyetlerin Elden Çıkarılmasından Kaynaklanan Kayıplar (Kazançlar) ile İlgili Düzeltmeler</t>
  </si>
  <si>
    <t xml:space="preserve">    Yatırım ya da Finansman Faaliyetlerinden Kaynaklanan Nakit Akışlarına Neden Olan Diğer Kalemlere İlişkin Düzeltmeler</t>
  </si>
  <si>
    <t xml:space="preserve">    Kar (Zarar) Mutabakatı İle İlgili Diğer Düzeltmeler</t>
  </si>
  <si>
    <t xml:space="preserve">    İşletme Sermayesinde Gerçekleşen Değişimler</t>
  </si>
  <si>
    <t xml:space="preserve">    Finansal Yatırımlardaki Azalış (Artış)</t>
  </si>
  <si>
    <t xml:space="preserve">    Türkiye Cumhuriyet Merkez Bankası Hesabındaki Azalış (Artış)</t>
  </si>
  <si>
    <t xml:space="preserve">    Ticari Alacaklardaki Azalış (Artış) ile İlgili Düzeltmeler</t>
  </si>
  <si>
    <t xml:space="preserve">    Finans Sektörü Faaliyetlerinden Alacaklarda Azalış (Artış)</t>
  </si>
  <si>
    <t xml:space="preserve">    Faaliyetlerle İlgili Diğer Alacaklardaki Azalış (Artış) ile İlgili Düzeltmeler</t>
  </si>
  <si>
    <t xml:space="preserve">    Müşteri Sözleşmelerinden Doğan Varlıklardaki Azalış (Artış) İle İlgili Düzeltmeler</t>
  </si>
  <si>
    <t xml:space="preserve">    İmtiyaz Sözleşmelerine İlişkin Finansal Varlıklardaki Azalış (Artış)</t>
  </si>
  <si>
    <t xml:space="preserve">    Türev Varlıklardaki Azalış (Artış)</t>
  </si>
  <si>
    <t xml:space="preserve">    Stoklardaki Azalışlar (Artışlar) İle İlgili Düzeltmeler</t>
  </si>
  <si>
    <t xml:space="preserve">    Canlı Varlıklardaki Azalış (Artış)</t>
  </si>
  <si>
    <t xml:space="preserve">    Peşin Ödenmiş Giderlerdeki Azalış (Artış)</t>
  </si>
  <si>
    <t xml:space="preserve">    Ticari Borçlardaki Artış (Azalış) ile İlgili Düzeltmeler</t>
  </si>
  <si>
    <t xml:space="preserve">    Finans Sektörü Faaliyetlerinden Borçlardaki Artış (Azalış)</t>
  </si>
  <si>
    <t xml:space="preserve">    Çalışanlara Sağlanan Faydalar Kapsamında Borçlardaki Artış (Azalış)</t>
  </si>
  <si>
    <t xml:space="preserve">    Müşteri Sözleşmelerinden Doğan Yükümlülüklerdeki Artış (Azalış) İle İlgili Düzeltmeler</t>
  </si>
  <si>
    <t xml:space="preserve">    Faaliyetler ile İlgili Diğer Borçlardaki Artış (Azalış) ile İlgili Düzeltmeler</t>
  </si>
  <si>
    <t xml:space="preserve">    Türev Yükümlülüklerdeki Artış (Azalış)</t>
  </si>
  <si>
    <t xml:space="preserve">    Devlet Teşvik ve Yardımlarındaki Artış (Azalış)</t>
  </si>
  <si>
    <t xml:space="preserve">    Ertelenmiş Gelirlerdeki Artış (Azalış)</t>
  </si>
  <si>
    <t xml:space="preserve">    İşletme Sermayesinde Gerçekleşen Diğer Artış (Azalış) ile İlgili Düzeltmeler</t>
  </si>
  <si>
    <t xml:space="preserve">    Faaliyetlerden Elde Edilen Nakit Akışları</t>
  </si>
  <si>
    <t xml:space="preserve">    Ödenen Temettüler</t>
  </si>
  <si>
    <t xml:space="preserve">    Alınan Temettüler</t>
  </si>
  <si>
    <t xml:space="preserve">    Ödenen Faiz</t>
  </si>
  <si>
    <t xml:space="preserve">    Alınan Faiz</t>
  </si>
  <si>
    <t xml:space="preserve">    Vergi İadeleri (Ödemeleri)</t>
  </si>
  <si>
    <t xml:space="preserve">    Katılım (Kar) Payı ve Diğer Finansal Araçlardan Nakit Çıkışları</t>
  </si>
  <si>
    <t xml:space="preserve">    Katılım (Kar) Payı ve Diğer Finansal Araçlardan Nakit Girişleri</t>
  </si>
  <si>
    <t xml:space="preserve">    Kira Ödemeleri</t>
  </si>
  <si>
    <t xml:space="preserve">    Alınan Kira</t>
  </si>
  <si>
    <t xml:space="preserve">    Başka İşletmelerin veya Fonların Paylarının veya Borçlanma Araçlarının Edinimi İçin Yapılan Nakit Çıkışları</t>
  </si>
  <si>
    <t xml:space="preserve">    Başka İşletmelerin veya Fonların Paylarının veya Borçlanma Araçlarının Satılması Sonucu Elde Edilen Nakit Girişleri</t>
  </si>
  <si>
    <t xml:space="preserve">    İştirakler, İş Ortaklıkları ve/veya Müşterek Faaliyetlerin Sermaye Artırımına Katılımdan Kaynaklanan Nakit Çıkışları</t>
  </si>
  <si>
    <t xml:space="preserve">    Çalışanlara Sağlanan Faydalara İlişkin Karşılıklar Kapsamında Yapılan Ödemeler</t>
  </si>
  <si>
    <t xml:space="preserve">    Diğer Karşılıklara İlişkin Ödemeler</t>
  </si>
  <si>
    <t xml:space="preserve">    Diğer Nakit Girişleri (Çıkışları)</t>
  </si>
  <si>
    <t xml:space="preserve">    Durdurulan Faaliyetlere İlişkin Net Nakit Akışları</t>
  </si>
  <si>
    <t xml:space="preserve">    Yatırım Faaliyetlerinden Kaynaklanan Nakit Akışları</t>
  </si>
  <si>
    <t xml:space="preserve">    Bağlı Ortaklıkların Kontrolünün Kaybı Sonucunu Doğuracak Satışlara İlişkin Nakit Girişleri</t>
  </si>
  <si>
    <t xml:space="preserve">    Bağlı Ortaklıkların Kontrolünün Kaybı Sonucunu Doğurmayan Satışlara İlişkin Nakit Girişleri</t>
  </si>
  <si>
    <t xml:space="preserve">    Bağlı Ortaklıkların Kontrolünün Elde Edilmesine Yönelik Alışlara İlişkin Nakit Çıkışları</t>
  </si>
  <si>
    <t xml:space="preserve">    Bağlı Ortaklıklarda İlave Pay Alımlarına ilişkin Nakit Çıkışları</t>
  </si>
  <si>
    <t xml:space="preserve">    İştiraklerin ve/veya İş Ortaklıklarının Pay Satışı veya Sermaye Azaltımı Sebebiyle Oluşan Nakit Girişleri</t>
  </si>
  <si>
    <t xml:space="preserve">    İştiraklar ve/veya İş Ortaklıkları Pay Alımı veya Sermaye Artırımı Sebebiyle Oluşan Nakit Çıkışları</t>
  </si>
  <si>
    <t xml:space="preserve">    İştirakler ve/veya İş Ortaklıkları Sermaye Avansı Ödemelerinden Nakit Çıkışları</t>
  </si>
  <si>
    <t xml:space="preserve">    Maddi ve Maddi Olmayan Duran Varlıkların Satışından Kaynaklanan Nakit Girişleri</t>
  </si>
  <si>
    <t xml:space="preserve">    Maddi ve Maddi Olmayan Duran Varlıkların Alımından Kaynaklanan Nakit Çıkışları</t>
  </si>
  <si>
    <t xml:space="preserve">    Yatırım Amaçlı Gayrimenkul Satımından Kaynaklanan Nakit Girişleri</t>
  </si>
  <si>
    <t xml:space="preserve">    Yatırım Amaçlı Gayrimenkul Alımından Kaynaklanan Nakit Çıkışları</t>
  </si>
  <si>
    <t xml:space="preserve">    Satış Amacıyla Elde Tutulan Duran Varlık Satışlarından Kaynaklanan Nakit Girişleri</t>
  </si>
  <si>
    <t xml:space="preserve">    Satış Amacıyla Elde Tutulan Duran Varlık Alımlarından Nakit Çıkışları</t>
  </si>
  <si>
    <t xml:space="preserve">    Canlı Varlık Satışından Kaynaklanan Nakit Girişleri</t>
  </si>
  <si>
    <t xml:space="preserve">    Canlı Varlık Alımından Kaynaklanan Nakit Çıkışları</t>
  </si>
  <si>
    <t xml:space="preserve">    Diğer Uzun Vadeli Varlıkların Satışından Kaynaklanan Nakit Girişleri</t>
  </si>
  <si>
    <t xml:space="preserve">    Diğer Uzun Vadeli Varlık Alımından Kaynaklanan Nakit Çıkışları</t>
  </si>
  <si>
    <t xml:space="preserve">    Verilen Nakit Avans ve Borçlar</t>
  </si>
  <si>
    <t xml:space="preserve">    Verilen Nakit Avans ve Borçlardan Geri Ödemeler</t>
  </si>
  <si>
    <t xml:space="preserve">    Türev Araçlardan Nakit Girişleri</t>
  </si>
  <si>
    <t xml:space="preserve">    Türev Araçlardan Nakit Çıkışları</t>
  </si>
  <si>
    <t xml:space="preserve">    Devlet Teşviklerinden Elde Edilen Nakit Girişleri</t>
  </si>
  <si>
    <t xml:space="preserve">    Finansman Faaliyetlerinden Nakit Akışları</t>
  </si>
  <si>
    <t xml:space="preserve">    Bağlı Ortaklıklardaki Kontrolün Kaybına Yol Açmayan Şekilde Ortaklık Payları Değişmelerinden Kaynaklanan Nakit Girişleri</t>
  </si>
  <si>
    <t xml:space="preserve">    Bağlı Ortaklıklardaki Kontrolün Kaybına Yol Açmayan Şekilde Ortaklık Payları Değişmelerinden Kaynaklanan Nakit Çıkışları</t>
  </si>
  <si>
    <t xml:space="preserve">    Pay ve Diğer Özkaynağa Dayalı Araçların İhracından Kaynaklanan Nakit Girişleri</t>
  </si>
  <si>
    <t xml:space="preserve">    Sermaye Avanslarından Nakit Girişleri</t>
  </si>
  <si>
    <t xml:space="preserve">    İşletmenin Kendi Paylarını ve Diğer Özkaynağa Dayalı Araçlarını Almasıyla İlgili Nakit Çıkışları</t>
  </si>
  <si>
    <t xml:space="preserve">    İşletmenin Kendi Paylarını ve Diğer Özkaynağa Dayalı Araçlarını Satmasından Kaynaklanan Nakit Girişleri</t>
  </si>
  <si>
    <t xml:space="preserve">    Ortak Kontrole Tabi İşletmelerin Birleşme Etkisinden Kaynaklanan Nakit Girişleri (Çıkışları)</t>
  </si>
  <si>
    <t xml:space="preserve">    Borçlanmadan Kaynaklanan Nakit Girişleri</t>
  </si>
  <si>
    <t xml:space="preserve">    Borç Ödemelerine İlişkin Nakit Çıkışları</t>
  </si>
  <si>
    <t xml:space="preserve">    İlişkili Taraflardan Alınan Diğer Borçlardaki Artış</t>
  </si>
  <si>
    <t xml:space="preserve">    İlişkili Taraflardan Alınan Diğer Borçlardaki Azalış</t>
  </si>
  <si>
    <t xml:space="preserve">    Kira Sözleşmelerinden Kaynaklanan Borç Ödemelerine İlişkin Nakit Çıkışları</t>
  </si>
  <si>
    <t xml:space="preserve">    Yabancı Para Çevrim Farklarının Etkisinden Önce Nakit ve Nakit Benzerlerindeki Net Artış (Azalış)</t>
  </si>
  <si>
    <t xml:space="preserve">    Yabancı Para Çevrim Farklarının Nakit ve Nakit Benzerleri Üzerindeki Etkisi</t>
  </si>
  <si>
    <t xml:space="preserve">    Nakit ve Nakit Benzerlerindeki Net Artış (Azalış)</t>
  </si>
  <si>
    <t xml:space="preserve">    Dönem Başı Nakit ve Nakit Benzerleri</t>
  </si>
  <si>
    <t xml:space="preserve">    Dönem Sonu Nakit ve Nakit Benzerleri</t>
  </si>
  <si>
    <t>son</t>
  </si>
  <si>
    <t>son iki</t>
  </si>
  <si>
    <t>son ve ilk</t>
  </si>
  <si>
    <t>son dört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</si>
</sst>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0"/>
  <sheetViews>
    <sheetView tabSelected="1" topLeftCell="A90" workbookViewId="0">
      <selection activeCell="B111" sqref="B111"/>
    </sheetView>
  </sheetViews>
  <sheetFormatPr defaultRowHeight="14.4" outlineLevelCol="2" x14ac:dyDescent="0.3"/>
  <cols>
    <col min="1" max="1" width="78" customWidth="1" outlineLevel="2"/>
    <col min="2" max="2" width="14.5" style="2" bestFit="1" customWidth="1"/>
    <col min="3" max="6" width="14.5" bestFit="1" customWidth="1"/>
    <col min="7" max="8" width="12.5" bestFit="1" customWidth="1"/>
    <col min="9" max="9" width="11.8984375" bestFit="1" customWidth="1"/>
    <col min="10" max="11" width="12.5" bestFit="1" customWidth="1"/>
    <col min="12" max="21" width="11.8984375" bestFit="1" customWidth="1"/>
    <col min="22" max="27" width="10.8984375" bestFit="1" customWidth="1"/>
    <col min="28" max="29" width="11.5" bestFit="1" customWidth="1"/>
    <col min="30" max="31" width="10.8984375" bestFit="1" customWidth="1"/>
    <col min="32" max="34" width="11.5" bestFit="1" customWidth="1"/>
    <col min="35" max="35" width="10.8984375" bestFit="1" customWidth="1"/>
    <col min="36" max="38" width="11.5" bestFit="1" customWidth="1"/>
    <col min="39" max="39" width="10.8984375" bestFit="1" customWidth="1"/>
    <col min="40" max="41" width="11.5" bestFit="1" customWidth="1"/>
  </cols>
  <sheetData>
    <row r="1" spans="1:41" ht="15.6" x14ac:dyDescent="0.3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15.6" x14ac:dyDescent="0.3">
      <c r="A2" t="s">
        <v>41</v>
      </c>
    </row>
    <row r="3" spans="1:41" ht="15.6" x14ac:dyDescent="0.3">
      <c r="A3" t="s">
        <v>42</v>
      </c>
      <c r="B3" s="2">
        <v>4394010354</v>
      </c>
      <c r="C3">
        <v>7174669392</v>
      </c>
      <c r="D3">
        <v>9177864015.466135</v>
      </c>
      <c r="E3">
        <v>8196707862.144558</v>
      </c>
      <c r="F3">
        <v>3870599132.6504574</v>
      </c>
      <c r="G3">
        <v>1518706760.9652719</v>
      </c>
      <c r="H3">
        <v>1212652480.1522946</v>
      </c>
      <c r="I3">
        <v>2078819000.0285087</v>
      </c>
      <c r="J3">
        <v>2197642422.7443247</v>
      </c>
      <c r="K3">
        <v>1653039976.3641431</v>
      </c>
      <c r="L3">
        <v>1425688739</v>
      </c>
      <c r="M3">
        <v>936021050</v>
      </c>
      <c r="N3">
        <v>1476892632</v>
      </c>
      <c r="O3">
        <v>3211844022.6232181</v>
      </c>
      <c r="P3">
        <v>844069168</v>
      </c>
      <c r="Q3">
        <v>236370445</v>
      </c>
      <c r="R3">
        <v>281926915</v>
      </c>
      <c r="S3">
        <v>524701915</v>
      </c>
      <c r="T3">
        <v>396425542</v>
      </c>
      <c r="U3">
        <v>465762054</v>
      </c>
      <c r="V3">
        <v>42788221</v>
      </c>
      <c r="W3">
        <v>314171908</v>
      </c>
      <c r="X3">
        <v>307135706</v>
      </c>
      <c r="Y3">
        <v>462973432</v>
      </c>
      <c r="Z3">
        <v>309157528</v>
      </c>
      <c r="AA3">
        <v>121503123</v>
      </c>
      <c r="AB3">
        <v>131910302</v>
      </c>
      <c r="AC3">
        <v>91628426</v>
      </c>
      <c r="AD3">
        <v>116463204</v>
      </c>
      <c r="AE3">
        <v>53026362</v>
      </c>
      <c r="AF3">
        <v>24475183</v>
      </c>
      <c r="AG3">
        <v>18972149</v>
      </c>
      <c r="AH3">
        <v>36898264</v>
      </c>
      <c r="AI3">
        <v>59577791</v>
      </c>
      <c r="AJ3">
        <v>4481368</v>
      </c>
      <c r="AK3">
        <v>199515559</v>
      </c>
      <c r="AL3">
        <v>5984074</v>
      </c>
      <c r="AM3">
        <v>219364855</v>
      </c>
      <c r="AN3">
        <v>78511926</v>
      </c>
      <c r="AO3">
        <v>84215816</v>
      </c>
    </row>
    <row r="4" spans="1:41" ht="15.6" x14ac:dyDescent="0.3">
      <c r="A4" t="s">
        <v>43</v>
      </c>
    </row>
    <row r="5" spans="1:41" ht="15.6" x14ac:dyDescent="0.3">
      <c r="A5" t="s">
        <v>44</v>
      </c>
      <c r="H5">
        <v>0</v>
      </c>
      <c r="I5">
        <v>0</v>
      </c>
      <c r="J5">
        <v>2900692703.8589377</v>
      </c>
      <c r="K5">
        <v>1822336594.3885567</v>
      </c>
      <c r="L5">
        <v>0</v>
      </c>
      <c r="M5">
        <v>38514465</v>
      </c>
      <c r="N5">
        <v>9601470</v>
      </c>
      <c r="O5">
        <v>1049937543.8429152</v>
      </c>
      <c r="P5">
        <v>398832014</v>
      </c>
      <c r="Q5">
        <v>563350010</v>
      </c>
      <c r="R5">
        <v>168198299</v>
      </c>
      <c r="S5">
        <v>592983082</v>
      </c>
      <c r="T5">
        <v>588124192</v>
      </c>
      <c r="U5">
        <v>957572000</v>
      </c>
      <c r="W5">
        <v>0</v>
      </c>
      <c r="AJ5">
        <v>0</v>
      </c>
    </row>
    <row r="6" spans="1:41" ht="15.6" x14ac:dyDescent="0.3">
      <c r="A6" t="s">
        <v>45</v>
      </c>
    </row>
    <row r="7" spans="1:41" ht="15.6" x14ac:dyDescent="0.3">
      <c r="A7" t="s">
        <v>46</v>
      </c>
      <c r="B7" s="2">
        <v>7179295749</v>
      </c>
      <c r="C7">
        <v>8415848044</v>
      </c>
      <c r="D7">
        <v>11860945013.788519</v>
      </c>
      <c r="E7">
        <v>13142764671.284031</v>
      </c>
      <c r="F7">
        <v>12285573404.39797</v>
      </c>
      <c r="G7">
        <v>14373903008.102655</v>
      </c>
      <c r="H7">
        <v>14104682907.642265</v>
      </c>
      <c r="I7">
        <v>15762830479.415495</v>
      </c>
      <c r="J7">
        <v>25872577339.7164</v>
      </c>
      <c r="K7">
        <v>28137231928.651546</v>
      </c>
      <c r="L7">
        <v>11752690388</v>
      </c>
      <c r="M7">
        <v>10948884430</v>
      </c>
      <c r="N7">
        <v>8769868494</v>
      </c>
      <c r="O7">
        <v>31583829769.376904</v>
      </c>
      <c r="P7">
        <v>9010466090</v>
      </c>
      <c r="Q7">
        <v>7820588848</v>
      </c>
      <c r="R7">
        <v>6490513965</v>
      </c>
      <c r="S7">
        <v>5327703619</v>
      </c>
      <c r="T7">
        <v>3511816718</v>
      </c>
      <c r="U7">
        <v>3126782485</v>
      </c>
      <c r="V7">
        <v>2926961896</v>
      </c>
      <c r="W7">
        <v>2705620407</v>
      </c>
      <c r="X7">
        <v>2770487439</v>
      </c>
      <c r="Y7">
        <v>2550178989</v>
      </c>
      <c r="Z7">
        <v>2116476956</v>
      </c>
      <c r="AA7">
        <v>1932874640</v>
      </c>
      <c r="AB7">
        <v>2120072716</v>
      </c>
      <c r="AC7">
        <v>2057943814</v>
      </c>
      <c r="AD7">
        <v>1766403320</v>
      </c>
      <c r="AE7">
        <v>1515930391</v>
      </c>
      <c r="AF7">
        <v>1914569226</v>
      </c>
      <c r="AG7">
        <v>1231311596</v>
      </c>
      <c r="AH7">
        <v>916013431</v>
      </c>
      <c r="AI7">
        <v>706750072</v>
      </c>
      <c r="AJ7">
        <v>529521795</v>
      </c>
      <c r="AK7">
        <v>354110577</v>
      </c>
      <c r="AL7">
        <v>318301885</v>
      </c>
      <c r="AM7">
        <v>270485380</v>
      </c>
      <c r="AN7">
        <v>333514930</v>
      </c>
      <c r="AO7">
        <v>200950514</v>
      </c>
    </row>
    <row r="8" spans="1:41" ht="15.6" x14ac:dyDescent="0.3">
      <c r="A8" t="s">
        <v>47</v>
      </c>
      <c r="Q8">
        <v>0</v>
      </c>
      <c r="S8">
        <v>0</v>
      </c>
      <c r="AJ8">
        <v>0</v>
      </c>
    </row>
    <row r="9" spans="1:41" ht="15.6" x14ac:dyDescent="0.3">
      <c r="A9" t="s">
        <v>48</v>
      </c>
    </row>
    <row r="10" spans="1:41" ht="15.6" x14ac:dyDescent="0.3">
      <c r="A10" t="s">
        <v>49</v>
      </c>
      <c r="B10" s="2">
        <v>92660456</v>
      </c>
      <c r="C10">
        <v>103752012</v>
      </c>
      <c r="D10">
        <v>100934816.83695154</v>
      </c>
      <c r="E10">
        <v>112030704.43989313</v>
      </c>
      <c r="F10">
        <v>102454723.60984063</v>
      </c>
      <c r="G10">
        <v>105503864.50268792</v>
      </c>
      <c r="H10">
        <v>111895911.80173862</v>
      </c>
      <c r="I10">
        <v>105480223.75590804</v>
      </c>
      <c r="J10">
        <v>113134630.95125429</v>
      </c>
      <c r="K10">
        <v>118760863.43270196</v>
      </c>
      <c r="L10">
        <v>196545194</v>
      </c>
      <c r="M10">
        <v>80367137</v>
      </c>
      <c r="N10">
        <v>59576417</v>
      </c>
      <c r="O10">
        <v>199798881.9901365</v>
      </c>
      <c r="P10">
        <v>107194335</v>
      </c>
      <c r="Q10">
        <v>104513579</v>
      </c>
      <c r="R10">
        <v>93779613</v>
      </c>
      <c r="S10">
        <v>100822731</v>
      </c>
      <c r="T10">
        <v>100782037</v>
      </c>
      <c r="U10">
        <v>82322754</v>
      </c>
      <c r="V10">
        <v>70923245</v>
      </c>
      <c r="W10">
        <v>76414447</v>
      </c>
      <c r="X10">
        <v>47376242</v>
      </c>
      <c r="Y10">
        <v>46958372</v>
      </c>
      <c r="Z10">
        <v>156474934</v>
      </c>
      <c r="AA10">
        <v>143595524</v>
      </c>
      <c r="AB10">
        <v>145533179</v>
      </c>
      <c r="AC10">
        <v>143905431</v>
      </c>
      <c r="AD10">
        <v>226446483</v>
      </c>
      <c r="AE10">
        <v>293535443</v>
      </c>
      <c r="AF10">
        <v>355902769</v>
      </c>
      <c r="AG10">
        <v>111711255</v>
      </c>
      <c r="AH10">
        <v>102333923</v>
      </c>
      <c r="AI10">
        <v>94187924</v>
      </c>
      <c r="AJ10">
        <v>9011922</v>
      </c>
      <c r="AK10">
        <v>1580916</v>
      </c>
      <c r="AL10">
        <v>5772028</v>
      </c>
      <c r="AM10">
        <v>9149317</v>
      </c>
      <c r="AN10">
        <v>10505468</v>
      </c>
      <c r="AO10">
        <v>8042306</v>
      </c>
    </row>
    <row r="11" spans="1:41" ht="15.6" x14ac:dyDescent="0.3">
      <c r="A11" t="s">
        <v>50</v>
      </c>
      <c r="Q11">
        <v>0</v>
      </c>
      <c r="S11">
        <v>0</v>
      </c>
    </row>
    <row r="12" spans="1:41" ht="15.6" x14ac:dyDescent="0.3">
      <c r="A12" t="s">
        <v>51</v>
      </c>
    </row>
    <row r="13" spans="1:41" ht="15.6" x14ac:dyDescent="0.3">
      <c r="A13" t="s">
        <v>52</v>
      </c>
      <c r="D13">
        <v>0</v>
      </c>
      <c r="E13">
        <v>0</v>
      </c>
      <c r="F13">
        <v>0</v>
      </c>
      <c r="G13">
        <v>6833834.3614191758</v>
      </c>
      <c r="H13">
        <v>6646413.2213161476</v>
      </c>
      <c r="I13">
        <v>26691871.360338729</v>
      </c>
      <c r="J13">
        <v>26678328.160768799</v>
      </c>
      <c r="K13">
        <v>54006184.529578522</v>
      </c>
      <c r="L13">
        <v>27061642</v>
      </c>
      <c r="M13">
        <v>35487206</v>
      </c>
      <c r="N13">
        <v>19368750</v>
      </c>
      <c r="O13">
        <v>77367578.429304391</v>
      </c>
      <c r="P13">
        <v>20663864</v>
      </c>
      <c r="Q13">
        <v>1735185</v>
      </c>
      <c r="R13">
        <v>1735185</v>
      </c>
      <c r="S13">
        <v>3859495</v>
      </c>
      <c r="T13">
        <v>1223809</v>
      </c>
      <c r="U13">
        <v>0</v>
      </c>
      <c r="V13">
        <v>2086608</v>
      </c>
      <c r="W13">
        <v>2148922</v>
      </c>
      <c r="X13">
        <v>14439277</v>
      </c>
      <c r="Y13">
        <v>25115591</v>
      </c>
      <c r="Z13">
        <v>26061242</v>
      </c>
      <c r="AA13">
        <v>4387466</v>
      </c>
      <c r="AB13">
        <v>2330226</v>
      </c>
      <c r="AC13">
        <v>887486</v>
      </c>
      <c r="AD13">
        <v>7091895</v>
      </c>
      <c r="AE13">
        <v>413737</v>
      </c>
      <c r="AF13">
        <v>553004</v>
      </c>
      <c r="AG13">
        <v>26266956</v>
      </c>
      <c r="AH13">
        <v>12407616</v>
      </c>
      <c r="AI13">
        <v>2576770</v>
      </c>
      <c r="AJ13">
        <v>1330620</v>
      </c>
      <c r="AK13">
        <v>8408842</v>
      </c>
      <c r="AL13">
        <v>8357417</v>
      </c>
      <c r="AM13">
        <v>6505190</v>
      </c>
      <c r="AN13">
        <v>607459</v>
      </c>
      <c r="AO13">
        <v>2029075</v>
      </c>
    </row>
    <row r="14" spans="1:41" ht="15.6" x14ac:dyDescent="0.3">
      <c r="A14" t="s">
        <v>53</v>
      </c>
      <c r="B14" s="2">
        <v>2511941105</v>
      </c>
      <c r="C14">
        <v>2447410057</v>
      </c>
      <c r="D14">
        <v>2190436423.328021</v>
      </c>
      <c r="E14">
        <v>2162492443.743609</v>
      </c>
      <c r="F14">
        <v>1858868668.7711332</v>
      </c>
      <c r="G14">
        <v>1984924955.3281255</v>
      </c>
      <c r="H14">
        <v>1848686578.6147356</v>
      </c>
      <c r="I14">
        <v>3148044701.7912211</v>
      </c>
      <c r="J14">
        <v>2211506603.3176165</v>
      </c>
      <c r="K14">
        <v>1863276944.115386</v>
      </c>
      <c r="L14">
        <v>694185212</v>
      </c>
      <c r="M14">
        <v>775733900</v>
      </c>
      <c r="N14">
        <v>427479727</v>
      </c>
      <c r="O14">
        <v>666702980.97771311</v>
      </c>
      <c r="P14">
        <v>299150097</v>
      </c>
      <c r="Q14">
        <v>302842831</v>
      </c>
      <c r="R14">
        <v>188695745</v>
      </c>
      <c r="S14">
        <v>225353094</v>
      </c>
      <c r="T14">
        <v>354453794</v>
      </c>
      <c r="U14">
        <v>154629972</v>
      </c>
      <c r="V14">
        <v>150872549</v>
      </c>
      <c r="W14">
        <v>138322794</v>
      </c>
      <c r="X14">
        <v>131205701</v>
      </c>
      <c r="Y14">
        <v>165345912</v>
      </c>
      <c r="Z14">
        <v>200376066</v>
      </c>
      <c r="AA14">
        <v>284075323</v>
      </c>
      <c r="AB14">
        <v>249472138</v>
      </c>
      <c r="AC14">
        <v>194055105</v>
      </c>
      <c r="AD14">
        <v>173971679</v>
      </c>
      <c r="AE14">
        <v>351414503</v>
      </c>
      <c r="AF14">
        <v>464340690</v>
      </c>
      <c r="AG14">
        <v>398668236</v>
      </c>
      <c r="AH14">
        <v>491982463</v>
      </c>
      <c r="AI14">
        <v>403860710</v>
      </c>
      <c r="AJ14">
        <v>380047708</v>
      </c>
      <c r="AK14">
        <v>449573684</v>
      </c>
      <c r="AL14">
        <v>410586232</v>
      </c>
      <c r="AM14">
        <v>368046383</v>
      </c>
      <c r="AN14">
        <v>377325587</v>
      </c>
      <c r="AO14">
        <v>350363383</v>
      </c>
    </row>
    <row r="15" spans="1:41" ht="15.6" x14ac:dyDescent="0.3">
      <c r="A15" t="s">
        <v>54</v>
      </c>
    </row>
    <row r="16" spans="1:41" ht="15.6" x14ac:dyDescent="0.3">
      <c r="A16" t="s">
        <v>55</v>
      </c>
    </row>
    <row r="17" spans="1:41" ht="15.6" x14ac:dyDescent="0.3">
      <c r="A17" t="s">
        <v>56</v>
      </c>
      <c r="B17" s="2">
        <v>1112827301</v>
      </c>
      <c r="C17">
        <v>691491230</v>
      </c>
      <c r="D17">
        <v>716750108.78213477</v>
      </c>
      <c r="E17">
        <v>1058568067.7497134</v>
      </c>
      <c r="F17">
        <v>1004229895.2022513</v>
      </c>
      <c r="G17">
        <v>1244852215.7959003</v>
      </c>
      <c r="H17">
        <v>1570961728.2782249</v>
      </c>
      <c r="I17">
        <v>1526069496.5135021</v>
      </c>
      <c r="J17">
        <v>947371292.74487615</v>
      </c>
      <c r="K17">
        <v>889466225.96607232</v>
      </c>
      <c r="L17">
        <v>519120506</v>
      </c>
      <c r="M17">
        <v>423235735</v>
      </c>
      <c r="N17">
        <v>346844484</v>
      </c>
      <c r="O17">
        <v>1131197177.0685606</v>
      </c>
      <c r="P17">
        <v>207832923</v>
      </c>
      <c r="Q17">
        <v>171349549</v>
      </c>
      <c r="R17">
        <v>197994566</v>
      </c>
      <c r="S17">
        <v>145128853</v>
      </c>
      <c r="T17">
        <v>491823319</v>
      </c>
      <c r="U17">
        <v>337932172</v>
      </c>
      <c r="V17">
        <v>157065521</v>
      </c>
      <c r="W17">
        <v>116007264</v>
      </c>
      <c r="X17">
        <v>109016286</v>
      </c>
      <c r="Y17">
        <v>78971071</v>
      </c>
      <c r="Z17">
        <v>83661745</v>
      </c>
      <c r="AA17">
        <v>68121888</v>
      </c>
      <c r="AB17">
        <v>62555386</v>
      </c>
      <c r="AC17">
        <v>64239362</v>
      </c>
      <c r="AD17">
        <v>40942524</v>
      </c>
      <c r="AE17">
        <v>33038268</v>
      </c>
      <c r="AF17">
        <v>15367265</v>
      </c>
      <c r="AG17">
        <v>37203245</v>
      </c>
      <c r="AH17">
        <v>20950639</v>
      </c>
      <c r="AI17">
        <v>32362134</v>
      </c>
      <c r="AJ17">
        <v>31444698</v>
      </c>
      <c r="AK17">
        <v>31729953</v>
      </c>
      <c r="AL17">
        <v>20244942</v>
      </c>
      <c r="AM17">
        <v>55630545</v>
      </c>
      <c r="AN17">
        <v>47364050</v>
      </c>
      <c r="AO17">
        <v>28059356</v>
      </c>
    </row>
    <row r="18" spans="1:41" ht="15.6" x14ac:dyDescent="0.3">
      <c r="A18" t="s">
        <v>57</v>
      </c>
    </row>
    <row r="19" spans="1:41" ht="15.6" x14ac:dyDescent="0.3">
      <c r="A19" t="s">
        <v>58</v>
      </c>
      <c r="B19" s="2">
        <v>341190868</v>
      </c>
      <c r="C19">
        <v>359902542</v>
      </c>
      <c r="D19">
        <v>125619171.50916781</v>
      </c>
      <c r="E19">
        <v>1378499.4702586385</v>
      </c>
      <c r="F19">
        <v>25058952.267127857</v>
      </c>
      <c r="G19">
        <v>56529369.151175201</v>
      </c>
      <c r="H19">
        <v>79629656.677463025</v>
      </c>
      <c r="I19">
        <v>155595787.67195132</v>
      </c>
      <c r="J19">
        <v>45375724.986814499</v>
      </c>
      <c r="K19">
        <v>48987333.030809633</v>
      </c>
      <c r="L19">
        <v>44574139</v>
      </c>
      <c r="M19">
        <v>61498990</v>
      </c>
      <c r="N19">
        <v>69901600</v>
      </c>
      <c r="O19">
        <v>508199851.96083647</v>
      </c>
      <c r="P19">
        <v>1055309</v>
      </c>
      <c r="Q19">
        <v>734519</v>
      </c>
      <c r="R19">
        <v>2635707</v>
      </c>
      <c r="S19">
        <v>990817</v>
      </c>
      <c r="T19">
        <v>0</v>
      </c>
      <c r="U19">
        <v>12324786</v>
      </c>
      <c r="V19">
        <v>30888059</v>
      </c>
      <c r="W19">
        <v>37623113</v>
      </c>
      <c r="X19">
        <v>41477215</v>
      </c>
      <c r="Y19">
        <v>38625838</v>
      </c>
      <c r="Z19">
        <v>37812333</v>
      </c>
      <c r="AA19">
        <v>39110786</v>
      </c>
      <c r="AB19">
        <v>27884710</v>
      </c>
      <c r="AC19">
        <v>29863555</v>
      </c>
      <c r="AD19">
        <v>32201274</v>
      </c>
      <c r="AE19">
        <v>31363575</v>
      </c>
      <c r="AF19">
        <v>20646882</v>
      </c>
      <c r="AG19">
        <v>2642901</v>
      </c>
      <c r="AH19">
        <v>4255340</v>
      </c>
      <c r="AI19">
        <v>3292537</v>
      </c>
      <c r="AJ19">
        <v>748201</v>
      </c>
      <c r="AK19">
        <v>610352</v>
      </c>
      <c r="AL19">
        <v>329515</v>
      </c>
      <c r="AM19">
        <v>3311741</v>
      </c>
      <c r="AN19">
        <v>3237559</v>
      </c>
      <c r="AO19">
        <v>2784886</v>
      </c>
    </row>
    <row r="20" spans="1:41" ht="15.6" x14ac:dyDescent="0.3">
      <c r="A20" t="s">
        <v>59</v>
      </c>
    </row>
    <row r="21" spans="1:41" ht="15.6" x14ac:dyDescent="0.3">
      <c r="A21" t="s">
        <v>60</v>
      </c>
      <c r="B21" s="2">
        <v>2821295398</v>
      </c>
      <c r="C21">
        <v>2804866794</v>
      </c>
      <c r="D21">
        <v>2418732337.1514721</v>
      </c>
      <c r="E21">
        <v>2522356874.399889</v>
      </c>
      <c r="F21">
        <v>1853422568.1496673</v>
      </c>
      <c r="G21">
        <v>2046499283.0581837</v>
      </c>
      <c r="H21">
        <v>1864749029.371212</v>
      </c>
      <c r="I21">
        <v>1820771072.709321</v>
      </c>
      <c r="J21">
        <v>1399570671.857862</v>
      </c>
      <c r="K21">
        <v>954645506.64021146</v>
      </c>
      <c r="L21">
        <v>324062362</v>
      </c>
      <c r="M21">
        <v>326477379</v>
      </c>
      <c r="N21">
        <v>367632530</v>
      </c>
      <c r="O21">
        <v>681366366.20002377</v>
      </c>
      <c r="P21">
        <v>249509973</v>
      </c>
      <c r="Q21">
        <v>188982430</v>
      </c>
      <c r="R21">
        <v>227011681</v>
      </c>
      <c r="S21">
        <v>207556364</v>
      </c>
      <c r="T21">
        <v>133106697</v>
      </c>
      <c r="U21">
        <v>104182556</v>
      </c>
      <c r="V21">
        <v>67100367</v>
      </c>
      <c r="W21">
        <v>73474659</v>
      </c>
      <c r="X21">
        <v>67329755</v>
      </c>
      <c r="Y21">
        <v>67052480</v>
      </c>
      <c r="Z21">
        <v>65346264</v>
      </c>
      <c r="AA21">
        <v>90292154</v>
      </c>
      <c r="AB21">
        <v>99308423</v>
      </c>
      <c r="AC21">
        <v>141294018</v>
      </c>
      <c r="AD21">
        <v>152106747</v>
      </c>
      <c r="AE21">
        <v>152049712</v>
      </c>
      <c r="AF21">
        <v>147286817</v>
      </c>
      <c r="AG21">
        <v>130285912</v>
      </c>
      <c r="AH21">
        <v>134910281</v>
      </c>
      <c r="AI21">
        <v>124924838</v>
      </c>
      <c r="AJ21">
        <v>115798298</v>
      </c>
      <c r="AK21">
        <v>106871566</v>
      </c>
      <c r="AL21">
        <v>114526602</v>
      </c>
      <c r="AM21">
        <v>94280951</v>
      </c>
      <c r="AN21">
        <v>121002554</v>
      </c>
      <c r="AO21">
        <v>129463736</v>
      </c>
    </row>
    <row r="22" spans="1:41" ht="15.6" x14ac:dyDescent="0.3">
      <c r="A22" t="s">
        <v>61</v>
      </c>
      <c r="AF22">
        <v>0</v>
      </c>
      <c r="AG22">
        <v>0</v>
      </c>
      <c r="AH22">
        <v>0</v>
      </c>
      <c r="AI22">
        <v>46013293</v>
      </c>
      <c r="AJ22">
        <v>294949559</v>
      </c>
      <c r="AK22">
        <v>465368202</v>
      </c>
      <c r="AL22">
        <v>453799762</v>
      </c>
      <c r="AM22">
        <v>448888338</v>
      </c>
    </row>
    <row r="23" spans="1:41" ht="15.6" x14ac:dyDescent="0.3">
      <c r="A23" t="s">
        <v>62</v>
      </c>
    </row>
    <row r="24" spans="1:41" ht="15.6" x14ac:dyDescent="0.3">
      <c r="A24" t="s">
        <v>63</v>
      </c>
      <c r="B24" s="2">
        <v>18453221231</v>
      </c>
      <c r="C24">
        <v>21997940071</v>
      </c>
      <c r="D24">
        <v>26591281886.862404</v>
      </c>
      <c r="E24">
        <v>27196299123.231949</v>
      </c>
      <c r="F24">
        <v>21000207345.048447</v>
      </c>
      <c r="G24">
        <v>21337753291.265419</v>
      </c>
      <c r="H24">
        <v>20799904705.759251</v>
      </c>
      <c r="I24">
        <v>24624302633.246246</v>
      </c>
      <c r="J24">
        <v>35714549718.33886</v>
      </c>
      <c r="K24">
        <v>35541751557.119019</v>
      </c>
      <c r="L24">
        <v>14983928182</v>
      </c>
      <c r="M24">
        <v>13626220292</v>
      </c>
      <c r="N24">
        <v>11547166104</v>
      </c>
      <c r="O24">
        <v>39110244172.469612</v>
      </c>
      <c r="P24">
        <v>11138773773</v>
      </c>
      <c r="Q24">
        <v>9390467396</v>
      </c>
      <c r="R24">
        <v>7652491676</v>
      </c>
      <c r="S24">
        <v>7129099970</v>
      </c>
      <c r="T24">
        <v>5577756108</v>
      </c>
      <c r="U24">
        <v>5241508779</v>
      </c>
      <c r="V24">
        <v>3448686466</v>
      </c>
      <c r="W24">
        <v>3463783514</v>
      </c>
      <c r="X24">
        <v>3488467621</v>
      </c>
      <c r="Y24">
        <v>3435221685</v>
      </c>
      <c r="Z24">
        <v>2995367068</v>
      </c>
      <c r="AA24">
        <v>2683960904</v>
      </c>
      <c r="AB24">
        <v>2839067080</v>
      </c>
      <c r="AC24">
        <v>2723817197</v>
      </c>
      <c r="AD24">
        <v>2515627126</v>
      </c>
      <c r="AE24">
        <v>2430771991</v>
      </c>
      <c r="AF24">
        <v>2943141836</v>
      </c>
      <c r="AG24">
        <v>1957062250</v>
      </c>
      <c r="AH24">
        <v>1719751957</v>
      </c>
      <c r="AI24">
        <v>1473546069</v>
      </c>
      <c r="AJ24">
        <v>1367334169</v>
      </c>
      <c r="AK24">
        <v>1617769651</v>
      </c>
      <c r="AL24">
        <v>1337902457</v>
      </c>
      <c r="AM24">
        <v>1475662700</v>
      </c>
      <c r="AN24">
        <v>972069533</v>
      </c>
      <c r="AO24">
        <v>805909072</v>
      </c>
    </row>
    <row r="25" spans="1:41" ht="15.6" x14ac:dyDescent="0.3">
      <c r="A25" t="s">
        <v>64</v>
      </c>
    </row>
    <row r="26" spans="1:41" ht="15.6" x14ac:dyDescent="0.3">
      <c r="A26" t="s">
        <v>44</v>
      </c>
      <c r="B26" s="2">
        <v>8802726</v>
      </c>
      <c r="C26">
        <v>8802726</v>
      </c>
      <c r="D26">
        <v>8803086.8284638375</v>
      </c>
      <c r="E26">
        <v>8802761.9943553526</v>
      </c>
      <c r="F26">
        <v>8802836.7365713492</v>
      </c>
      <c r="G26">
        <v>8802902.0524549857</v>
      </c>
      <c r="H26">
        <v>8803058.7713921554</v>
      </c>
      <c r="I26">
        <v>8764670.1304364726</v>
      </c>
      <c r="J26">
        <v>6437092.7320878524</v>
      </c>
      <c r="K26">
        <v>6437350.4228269169</v>
      </c>
      <c r="L26">
        <v>412408</v>
      </c>
      <c r="M26">
        <v>412408</v>
      </c>
      <c r="N26">
        <v>412408</v>
      </c>
      <c r="O26">
        <v>6437295.0487797009</v>
      </c>
      <c r="P26">
        <v>412408</v>
      </c>
      <c r="Q26">
        <v>412408</v>
      </c>
      <c r="R26">
        <v>412408</v>
      </c>
      <c r="S26">
        <v>412408</v>
      </c>
      <c r="T26">
        <v>412408</v>
      </c>
      <c r="U26">
        <v>412408</v>
      </c>
      <c r="V26">
        <v>412408</v>
      </c>
      <c r="W26">
        <v>412408</v>
      </c>
      <c r="X26">
        <v>412408</v>
      </c>
      <c r="Y26">
        <v>412408</v>
      </c>
      <c r="Z26">
        <v>412408</v>
      </c>
      <c r="AA26">
        <v>412408</v>
      </c>
      <c r="AB26">
        <v>412408</v>
      </c>
      <c r="AC26">
        <v>412408</v>
      </c>
      <c r="AD26">
        <v>412408</v>
      </c>
      <c r="AE26">
        <v>412408</v>
      </c>
      <c r="AF26">
        <v>412408</v>
      </c>
      <c r="AG26">
        <v>412408</v>
      </c>
      <c r="AH26">
        <v>412408</v>
      </c>
      <c r="AI26">
        <v>412408</v>
      </c>
      <c r="AJ26">
        <v>412408</v>
      </c>
      <c r="AK26">
        <v>412408</v>
      </c>
      <c r="AL26">
        <v>412408</v>
      </c>
      <c r="AM26">
        <v>412408</v>
      </c>
      <c r="AN26">
        <v>412408</v>
      </c>
      <c r="AO26">
        <v>412408</v>
      </c>
    </row>
    <row r="27" spans="1:41" ht="15.6" x14ac:dyDescent="0.3">
      <c r="A27" t="s">
        <v>65</v>
      </c>
    </row>
    <row r="28" spans="1:41" ht="15.6" x14ac:dyDescent="0.3">
      <c r="A28" t="s">
        <v>46</v>
      </c>
      <c r="H28">
        <v>0</v>
      </c>
      <c r="J28">
        <v>0</v>
      </c>
      <c r="O28">
        <v>0</v>
      </c>
      <c r="Q28">
        <v>0</v>
      </c>
      <c r="S28">
        <v>0</v>
      </c>
    </row>
    <row r="29" spans="1:41" ht="15.6" x14ac:dyDescent="0.3">
      <c r="A29" t="s">
        <v>47</v>
      </c>
      <c r="Q29">
        <v>0</v>
      </c>
      <c r="S29">
        <v>0</v>
      </c>
    </row>
    <row r="30" spans="1:41" ht="15.6" x14ac:dyDescent="0.3">
      <c r="A30" t="s">
        <v>49</v>
      </c>
      <c r="B30" s="2">
        <v>13698430</v>
      </c>
      <c r="C30">
        <v>14955693</v>
      </c>
      <c r="D30">
        <v>14985388.826628493</v>
      </c>
      <c r="E30">
        <v>14445584.955918739</v>
      </c>
      <c r="F30">
        <v>15084564.070816226</v>
      </c>
      <c r="G30">
        <v>14940990.176261501</v>
      </c>
      <c r="H30">
        <v>15672718.459883777</v>
      </c>
      <c r="I30">
        <v>15645736.434572652</v>
      </c>
      <c r="J30">
        <v>13061091.060935652</v>
      </c>
      <c r="K30">
        <v>13271159.265694438</v>
      </c>
      <c r="L30">
        <v>6269661</v>
      </c>
      <c r="M30">
        <v>18555772</v>
      </c>
      <c r="N30">
        <v>13428190</v>
      </c>
      <c r="O30">
        <v>45987811.898697421</v>
      </c>
      <c r="P30">
        <v>174909855</v>
      </c>
      <c r="Q30">
        <v>124742497</v>
      </c>
      <c r="R30">
        <v>28227303</v>
      </c>
      <c r="S30">
        <v>12137069</v>
      </c>
      <c r="T30">
        <v>4234394</v>
      </c>
      <c r="U30">
        <v>8620856</v>
      </c>
      <c r="V30">
        <v>6629912</v>
      </c>
      <c r="W30">
        <v>6529795</v>
      </c>
      <c r="X30">
        <v>5476255</v>
      </c>
      <c r="Y30">
        <v>5317199</v>
      </c>
      <c r="Z30">
        <v>5028142</v>
      </c>
      <c r="AA30">
        <v>7096176</v>
      </c>
      <c r="AB30">
        <v>19004588</v>
      </c>
      <c r="AC30">
        <v>783778</v>
      </c>
      <c r="AD30">
        <v>1321269</v>
      </c>
      <c r="AE30">
        <v>1545269</v>
      </c>
      <c r="AF30">
        <v>2946113</v>
      </c>
      <c r="AG30">
        <v>4285603</v>
      </c>
      <c r="AH30">
        <v>3249990</v>
      </c>
      <c r="AI30">
        <v>15662583</v>
      </c>
      <c r="AJ30">
        <v>12964979</v>
      </c>
      <c r="AK30">
        <v>15435259</v>
      </c>
      <c r="AL30">
        <v>12113270</v>
      </c>
      <c r="AM30">
        <v>20170031</v>
      </c>
      <c r="AN30">
        <v>15051878</v>
      </c>
      <c r="AO30">
        <v>3318499</v>
      </c>
    </row>
    <row r="31" spans="1:41" ht="15.6" x14ac:dyDescent="0.3">
      <c r="A31" t="s">
        <v>50</v>
      </c>
      <c r="Q31">
        <v>0</v>
      </c>
      <c r="S31">
        <v>0</v>
      </c>
    </row>
    <row r="32" spans="1:41" ht="15.6" x14ac:dyDescent="0.3">
      <c r="A32" t="s">
        <v>51</v>
      </c>
    </row>
    <row r="33" spans="1:41" ht="15.6" x14ac:dyDescent="0.3">
      <c r="A33" t="s">
        <v>52</v>
      </c>
      <c r="Q33">
        <v>0</v>
      </c>
      <c r="S33">
        <v>0</v>
      </c>
    </row>
    <row r="34" spans="1:41" ht="15.6" x14ac:dyDescent="0.3">
      <c r="A34" t="s">
        <v>53</v>
      </c>
    </row>
    <row r="35" spans="1:41" ht="15.6" x14ac:dyDescent="0.3">
      <c r="A35" t="s">
        <v>66</v>
      </c>
    </row>
    <row r="36" spans="1:41" ht="15.6" x14ac:dyDescent="0.3">
      <c r="A36" t="s">
        <v>55</v>
      </c>
    </row>
    <row r="37" spans="1:41" ht="15.6" x14ac:dyDescent="0.3">
      <c r="A37" t="s">
        <v>67</v>
      </c>
    </row>
    <row r="38" spans="1:41" ht="15.6" x14ac:dyDescent="0.3">
      <c r="A38" t="s">
        <v>68</v>
      </c>
    </row>
    <row r="39" spans="1:41" ht="15.6" x14ac:dyDescent="0.3">
      <c r="A39" t="s">
        <v>69</v>
      </c>
      <c r="B39" s="2">
        <v>111999161990</v>
      </c>
      <c r="C39">
        <v>112438137902</v>
      </c>
      <c r="D39">
        <v>97329185164.674133</v>
      </c>
      <c r="E39">
        <v>95377308757.804291</v>
      </c>
      <c r="F39">
        <v>91296203450.962219</v>
      </c>
      <c r="G39">
        <v>89002159799.139771</v>
      </c>
      <c r="H39">
        <v>81075555718.910507</v>
      </c>
      <c r="I39">
        <v>75423968473.198212</v>
      </c>
      <c r="J39">
        <v>74804415318.684418</v>
      </c>
      <c r="K39">
        <v>72820664693.034302</v>
      </c>
      <c r="L39">
        <v>28006720181</v>
      </c>
      <c r="M39">
        <v>26388586429</v>
      </c>
      <c r="N39">
        <v>21629033007</v>
      </c>
      <c r="O39">
        <v>73374919851.899628</v>
      </c>
      <c r="P39">
        <v>17105100617</v>
      </c>
      <c r="Q39">
        <v>16041787117</v>
      </c>
      <c r="R39">
        <v>14463122203</v>
      </c>
      <c r="S39">
        <v>13037533258</v>
      </c>
      <c r="T39">
        <v>6970875658</v>
      </c>
      <c r="U39">
        <v>6430486926</v>
      </c>
      <c r="V39">
        <v>6061291538</v>
      </c>
      <c r="W39">
        <v>5655050521</v>
      </c>
      <c r="X39">
        <v>5846382430</v>
      </c>
      <c r="Y39">
        <v>5677265942</v>
      </c>
      <c r="Z39">
        <v>5666844809</v>
      </c>
      <c r="AA39">
        <v>5499257130</v>
      </c>
      <c r="AB39">
        <v>3777601900</v>
      </c>
      <c r="AC39">
        <v>3918522159</v>
      </c>
      <c r="AD39">
        <v>3978012894</v>
      </c>
      <c r="AE39">
        <v>3774056402</v>
      </c>
      <c r="AF39">
        <v>3964600165</v>
      </c>
      <c r="AG39">
        <v>3674463367</v>
      </c>
      <c r="AH39">
        <v>3598709222</v>
      </c>
      <c r="AI39">
        <v>3635797549</v>
      </c>
      <c r="AJ39">
        <v>2454881642</v>
      </c>
      <c r="AK39">
        <v>2474220233</v>
      </c>
      <c r="AL39">
        <v>2535069384</v>
      </c>
      <c r="AM39">
        <v>2453630577</v>
      </c>
      <c r="AN39">
        <v>3074808369</v>
      </c>
      <c r="AO39">
        <v>3084071523</v>
      </c>
    </row>
    <row r="40" spans="1:41" ht="15.6" x14ac:dyDescent="0.3">
      <c r="A40" t="s">
        <v>70</v>
      </c>
      <c r="B40" s="2">
        <v>442943485</v>
      </c>
      <c r="C40">
        <v>469676740</v>
      </c>
      <c r="D40">
        <v>269287303.54681903</v>
      </c>
      <c r="E40">
        <v>347043073.53044057</v>
      </c>
      <c r="F40">
        <v>377198677.75163549</v>
      </c>
      <c r="G40">
        <v>365526390.71643513</v>
      </c>
      <c r="H40">
        <v>631964684.32069242</v>
      </c>
      <c r="I40">
        <v>659557850.56946754</v>
      </c>
      <c r="J40">
        <v>589890954.73161113</v>
      </c>
      <c r="K40">
        <v>605610672.55365694</v>
      </c>
      <c r="L40">
        <v>204917249</v>
      </c>
      <c r="M40">
        <v>177136264</v>
      </c>
      <c r="N40">
        <v>123847613</v>
      </c>
      <c r="O40">
        <v>465475820.83428884</v>
      </c>
      <c r="P40">
        <v>107775295</v>
      </c>
      <c r="Q40">
        <v>92650223</v>
      </c>
      <c r="R40">
        <v>71919180</v>
      </c>
      <c r="S40">
        <v>64593990</v>
      </c>
      <c r="T40">
        <v>70298541</v>
      </c>
      <c r="U40">
        <v>69851889</v>
      </c>
      <c r="V40">
        <v>72441900</v>
      </c>
      <c r="W40">
        <v>73524027</v>
      </c>
      <c r="X40">
        <v>57106625</v>
      </c>
      <c r="Y40">
        <v>59289837</v>
      </c>
      <c r="Z40">
        <v>55236422</v>
      </c>
      <c r="AA40">
        <v>48706223</v>
      </c>
      <c r="AB40">
        <v>48016844</v>
      </c>
      <c r="AC40">
        <v>55279121</v>
      </c>
      <c r="AD40">
        <v>70562616</v>
      </c>
      <c r="AE40">
        <v>0</v>
      </c>
    </row>
    <row r="41" spans="1:41" ht="15.6" x14ac:dyDescent="0.3">
      <c r="A41" t="s">
        <v>71</v>
      </c>
      <c r="B41" s="2">
        <v>3659405496</v>
      </c>
      <c r="C41">
        <v>3800449731</v>
      </c>
      <c r="D41">
        <v>3411631880.3226938</v>
      </c>
      <c r="E41">
        <v>3451747524.6798539</v>
      </c>
      <c r="F41">
        <v>3383904734.7206712</v>
      </c>
      <c r="G41">
        <v>2333519499.8208356</v>
      </c>
      <c r="H41">
        <v>2027382164.2984688</v>
      </c>
      <c r="I41">
        <v>2127100876.3407168</v>
      </c>
      <c r="J41">
        <v>2202698975.054738</v>
      </c>
      <c r="K41">
        <v>2301152298.5361052</v>
      </c>
      <c r="L41">
        <v>478456085</v>
      </c>
      <c r="M41">
        <v>457346402</v>
      </c>
      <c r="N41">
        <v>370897707</v>
      </c>
      <c r="O41">
        <v>1540410464.7949531</v>
      </c>
      <c r="P41">
        <v>289414744</v>
      </c>
      <c r="Q41">
        <v>267651661</v>
      </c>
      <c r="R41">
        <v>237097424</v>
      </c>
      <c r="S41">
        <v>222087752</v>
      </c>
      <c r="T41">
        <v>162001212</v>
      </c>
      <c r="U41">
        <v>164388949</v>
      </c>
      <c r="V41">
        <v>128658728</v>
      </c>
      <c r="W41">
        <v>115884555</v>
      </c>
      <c r="X41">
        <v>122163357</v>
      </c>
      <c r="Y41">
        <v>110069276</v>
      </c>
      <c r="Z41">
        <v>106445526</v>
      </c>
      <c r="AA41">
        <v>99461368</v>
      </c>
      <c r="AB41">
        <v>96030465</v>
      </c>
      <c r="AC41">
        <v>98062185</v>
      </c>
      <c r="AD41">
        <v>96569188</v>
      </c>
      <c r="AE41">
        <v>91845092</v>
      </c>
      <c r="AF41">
        <v>96273556</v>
      </c>
      <c r="AG41">
        <v>81547942</v>
      </c>
      <c r="AH41">
        <v>75253123</v>
      </c>
      <c r="AI41">
        <v>72616102</v>
      </c>
      <c r="AJ41">
        <v>67895243</v>
      </c>
      <c r="AK41">
        <v>67908539</v>
      </c>
      <c r="AL41">
        <v>63030214</v>
      </c>
      <c r="AM41">
        <v>60978594</v>
      </c>
      <c r="AN41">
        <v>5603931</v>
      </c>
      <c r="AO41">
        <v>3528622</v>
      </c>
    </row>
    <row r="42" spans="1:41" ht="15.6" x14ac:dyDescent="0.3">
      <c r="A42" t="s">
        <v>56</v>
      </c>
      <c r="B42" s="2">
        <v>4013259050</v>
      </c>
      <c r="C42">
        <v>3534861565</v>
      </c>
      <c r="D42">
        <v>5417823485.9134712</v>
      </c>
      <c r="E42">
        <v>6242537987.9925108</v>
      </c>
      <c r="F42">
        <v>5328466780.4375753</v>
      </c>
      <c r="G42">
        <v>5375857994.7125139</v>
      </c>
      <c r="H42">
        <v>11459070711.35989</v>
      </c>
      <c r="I42">
        <v>10680352812.167051</v>
      </c>
      <c r="J42">
        <v>8192310670.0404243</v>
      </c>
      <c r="K42">
        <v>3874506414.015049</v>
      </c>
      <c r="L42">
        <v>513671065</v>
      </c>
      <c r="M42">
        <v>498775396</v>
      </c>
      <c r="N42">
        <v>10169451</v>
      </c>
      <c r="O42">
        <v>72169125.83652617</v>
      </c>
      <c r="P42">
        <v>17849999</v>
      </c>
      <c r="Q42">
        <v>187847644</v>
      </c>
      <c r="R42">
        <v>146069404</v>
      </c>
      <c r="S42">
        <v>153147175</v>
      </c>
      <c r="T42">
        <v>698705</v>
      </c>
      <c r="U42">
        <v>950322</v>
      </c>
      <c r="V42">
        <v>1914036</v>
      </c>
      <c r="W42">
        <v>2289464</v>
      </c>
      <c r="X42">
        <v>3560067</v>
      </c>
      <c r="Y42">
        <v>5361319</v>
      </c>
      <c r="Z42">
        <v>2986950</v>
      </c>
      <c r="AA42">
        <v>6722646</v>
      </c>
      <c r="AB42">
        <v>10009836</v>
      </c>
      <c r="AC42">
        <v>13849483</v>
      </c>
      <c r="AD42">
        <v>12587455</v>
      </c>
      <c r="AE42">
        <v>14234496</v>
      </c>
      <c r="AF42">
        <v>1349802</v>
      </c>
      <c r="AG42">
        <v>1350088</v>
      </c>
      <c r="AH42">
        <v>2366103</v>
      </c>
      <c r="AI42">
        <v>4135958</v>
      </c>
      <c r="AJ42">
        <v>1597109</v>
      </c>
      <c r="AK42">
        <v>1504315</v>
      </c>
      <c r="AL42">
        <v>1444011</v>
      </c>
      <c r="AM42">
        <v>1467214</v>
      </c>
      <c r="AN42">
        <v>28563327</v>
      </c>
      <c r="AO42">
        <v>1964174</v>
      </c>
    </row>
    <row r="43" spans="1:41" ht="15.6" x14ac:dyDescent="0.3">
      <c r="A43" t="s">
        <v>72</v>
      </c>
      <c r="B43" s="2">
        <v>312265821</v>
      </c>
      <c r="C43">
        <v>336513159</v>
      </c>
      <c r="D43">
        <v>432907713.84853375</v>
      </c>
      <c r="E43">
        <v>699020954.28331792</v>
      </c>
      <c r="F43">
        <v>716657192.34553206</v>
      </c>
      <c r="G43">
        <v>783707740.64241421</v>
      </c>
      <c r="H43">
        <v>536850715.86636633</v>
      </c>
      <c r="I43">
        <v>744685588.22617269</v>
      </c>
      <c r="J43">
        <v>796457675.61311936</v>
      </c>
      <c r="K43">
        <v>891536456.85572624</v>
      </c>
      <c r="L43">
        <v>70646298</v>
      </c>
      <c r="M43">
        <v>64467873</v>
      </c>
      <c r="N43">
        <v>47539077</v>
      </c>
      <c r="O43">
        <v>185185148.95524311</v>
      </c>
      <c r="P43">
        <v>38969828</v>
      </c>
      <c r="Q43">
        <v>36715297</v>
      </c>
      <c r="R43">
        <v>32757516</v>
      </c>
      <c r="S43">
        <v>30526428</v>
      </c>
      <c r="T43">
        <v>134582235</v>
      </c>
      <c r="U43">
        <v>93210147</v>
      </c>
      <c r="V43">
        <v>98160956</v>
      </c>
      <c r="W43">
        <v>185220021</v>
      </c>
      <c r="X43">
        <v>88187498</v>
      </c>
      <c r="Y43">
        <v>79736888</v>
      </c>
      <c r="Z43">
        <v>95665779</v>
      </c>
      <c r="AA43">
        <v>155505193</v>
      </c>
      <c r="AB43">
        <v>122777854</v>
      </c>
      <c r="AC43">
        <v>122775645</v>
      </c>
      <c r="AD43">
        <v>193341632</v>
      </c>
      <c r="AE43">
        <v>125276334</v>
      </c>
      <c r="AI43">
        <v>0</v>
      </c>
      <c r="AJ43">
        <v>169572724</v>
      </c>
      <c r="AK43">
        <v>156455137</v>
      </c>
      <c r="AL43">
        <v>163008164</v>
      </c>
      <c r="AM43">
        <v>140232430</v>
      </c>
      <c r="AN43">
        <v>96708135</v>
      </c>
      <c r="AO43">
        <v>82604745</v>
      </c>
    </row>
    <row r="44" spans="1:41" ht="15.6" x14ac:dyDescent="0.3">
      <c r="A44" t="s">
        <v>73</v>
      </c>
    </row>
    <row r="45" spans="1:41" ht="15.6" x14ac:dyDescent="0.3">
      <c r="A45" t="s">
        <v>59</v>
      </c>
    </row>
    <row r="46" spans="1:41" ht="15.6" x14ac:dyDescent="0.3">
      <c r="A46" t="s">
        <v>74</v>
      </c>
      <c r="J46">
        <v>0</v>
      </c>
      <c r="Q46">
        <v>0</v>
      </c>
      <c r="S46">
        <v>0</v>
      </c>
      <c r="AN46">
        <v>23472347</v>
      </c>
      <c r="AO46">
        <v>23623782</v>
      </c>
    </row>
    <row r="47" spans="1:41" ht="15.6" x14ac:dyDescent="0.3">
      <c r="A47" t="s">
        <v>75</v>
      </c>
      <c r="B47" s="2">
        <v>120449536998</v>
      </c>
      <c r="C47">
        <v>120603397516</v>
      </c>
      <c r="D47">
        <v>106884624023.96074</v>
      </c>
      <c r="E47">
        <v>106140906645.24069</v>
      </c>
      <c r="F47">
        <v>101126318237.02502</v>
      </c>
      <c r="G47">
        <v>97884515317.260696</v>
      </c>
      <c r="H47">
        <v>95755299771.987183</v>
      </c>
      <c r="I47">
        <v>89660076007.06662</v>
      </c>
      <c r="J47">
        <v>86605271777.917343</v>
      </c>
      <c r="K47">
        <v>80513179044.683365</v>
      </c>
      <c r="L47">
        <v>29281092947</v>
      </c>
      <c r="M47">
        <v>27605280544</v>
      </c>
      <c r="N47">
        <v>22195327453</v>
      </c>
      <c r="O47">
        <v>75690585519.268127</v>
      </c>
      <c r="P47">
        <v>17734432746</v>
      </c>
      <c r="Q47">
        <v>16751806847</v>
      </c>
      <c r="R47">
        <v>14979605438</v>
      </c>
      <c r="S47">
        <v>13520438080</v>
      </c>
      <c r="T47">
        <v>7343103153</v>
      </c>
      <c r="U47">
        <v>6767921497</v>
      </c>
      <c r="V47">
        <v>6369509478</v>
      </c>
      <c r="W47">
        <v>6038910791</v>
      </c>
      <c r="X47">
        <v>6123288640</v>
      </c>
      <c r="Y47">
        <v>5937452869</v>
      </c>
      <c r="Z47">
        <v>5932620036</v>
      </c>
      <c r="AA47">
        <v>5817161144</v>
      </c>
      <c r="AB47">
        <v>4073853895</v>
      </c>
      <c r="AC47">
        <v>4209684779</v>
      </c>
      <c r="AD47">
        <v>4352807462</v>
      </c>
      <c r="AE47">
        <v>4007370001</v>
      </c>
      <c r="AF47">
        <v>4065582044</v>
      </c>
      <c r="AG47">
        <v>3762059408</v>
      </c>
      <c r="AH47">
        <v>3679990846</v>
      </c>
      <c r="AI47">
        <v>3728624600</v>
      </c>
      <c r="AJ47">
        <v>2707324105</v>
      </c>
      <c r="AK47">
        <v>2715935891</v>
      </c>
      <c r="AL47">
        <v>2775077451</v>
      </c>
      <c r="AM47">
        <v>2676891254</v>
      </c>
      <c r="AN47">
        <v>3244620395</v>
      </c>
      <c r="AO47">
        <v>3199523753</v>
      </c>
    </row>
    <row r="48" spans="1:41" ht="15.6" x14ac:dyDescent="0.3">
      <c r="A48" t="s">
        <v>76</v>
      </c>
      <c r="B48" s="2">
        <v>138902758229</v>
      </c>
      <c r="C48">
        <v>142601337587</v>
      </c>
      <c r="D48">
        <v>133475905910.82314</v>
      </c>
      <c r="E48">
        <v>133337205768.47264</v>
      </c>
      <c r="F48">
        <v>122126525582.07347</v>
      </c>
      <c r="G48">
        <v>119222268608.52611</v>
      </c>
      <c r="H48">
        <v>116555204477.74643</v>
      </c>
      <c r="I48">
        <v>114284378640.3129</v>
      </c>
      <c r="J48">
        <v>122319821496.25621</v>
      </c>
      <c r="K48">
        <v>116054930601.8024</v>
      </c>
      <c r="L48">
        <v>44265021129</v>
      </c>
      <c r="M48">
        <v>41231500836</v>
      </c>
      <c r="N48">
        <v>33742493557</v>
      </c>
      <c r="O48">
        <v>114800829691.73773</v>
      </c>
      <c r="P48">
        <v>28873206519</v>
      </c>
      <c r="Q48">
        <v>26142274243</v>
      </c>
      <c r="R48">
        <v>22632097114</v>
      </c>
      <c r="S48">
        <v>20649538050</v>
      </c>
      <c r="T48">
        <v>12920859261</v>
      </c>
      <c r="U48">
        <v>12009430276</v>
      </c>
      <c r="V48">
        <v>9818195944</v>
      </c>
      <c r="W48">
        <v>9502694305</v>
      </c>
      <c r="X48">
        <v>9611756261</v>
      </c>
      <c r="Y48">
        <v>9372674554</v>
      </c>
      <c r="Z48">
        <v>8927987104</v>
      </c>
      <c r="AA48">
        <v>8501122048</v>
      </c>
      <c r="AB48">
        <v>6912920975</v>
      </c>
      <c r="AC48">
        <v>6933501976</v>
      </c>
      <c r="AD48">
        <v>6868434588</v>
      </c>
      <c r="AE48">
        <v>6438141992</v>
      </c>
      <c r="AF48">
        <v>7008723880</v>
      </c>
      <c r="AG48">
        <v>5719121658</v>
      </c>
      <c r="AH48">
        <v>5399742803</v>
      </c>
      <c r="AI48">
        <v>5202170669</v>
      </c>
      <c r="AJ48">
        <v>4074658274</v>
      </c>
      <c r="AK48">
        <v>4333705542</v>
      </c>
      <c r="AL48">
        <v>4112979908</v>
      </c>
      <c r="AM48">
        <v>4152553954</v>
      </c>
      <c r="AN48">
        <v>4216689928</v>
      </c>
      <c r="AO48">
        <v>4005432825</v>
      </c>
    </row>
    <row r="49" spans="1:41" ht="15.6" x14ac:dyDescent="0.3">
      <c r="A49" t="s">
        <v>77</v>
      </c>
    </row>
    <row r="50" spans="1:41" ht="15.6" x14ac:dyDescent="0.3">
      <c r="A50" t="s">
        <v>78</v>
      </c>
      <c r="B50" s="2">
        <v>21961678530</v>
      </c>
      <c r="C50">
        <v>21748998778</v>
      </c>
      <c r="D50">
        <v>20746698238.942902</v>
      </c>
      <c r="E50">
        <v>21149761163.424202</v>
      </c>
      <c r="F50">
        <v>18528097856.091476</v>
      </c>
      <c r="G50">
        <v>19206742832.271805</v>
      </c>
      <c r="H50">
        <v>19674104224.18491</v>
      </c>
      <c r="I50">
        <v>19174787019.26075</v>
      </c>
      <c r="J50">
        <v>19140075911.991276</v>
      </c>
      <c r="K50">
        <v>17069350555.129196</v>
      </c>
      <c r="L50">
        <v>6580357616</v>
      </c>
      <c r="M50">
        <v>6186687363</v>
      </c>
      <c r="N50">
        <v>4589925660</v>
      </c>
      <c r="O50">
        <v>16252447589.657284</v>
      </c>
      <c r="P50">
        <v>4104439249</v>
      </c>
      <c r="Q50">
        <v>4040162131</v>
      </c>
      <c r="R50">
        <v>3638918869</v>
      </c>
      <c r="S50">
        <v>3159423458</v>
      </c>
      <c r="T50">
        <v>2666832915</v>
      </c>
      <c r="U50">
        <v>2590530276</v>
      </c>
      <c r="V50">
        <v>1958927407</v>
      </c>
      <c r="W50">
        <v>2025457727</v>
      </c>
      <c r="X50">
        <v>2161230310</v>
      </c>
      <c r="Y50">
        <v>2141160859</v>
      </c>
      <c r="Z50">
        <v>2205436171</v>
      </c>
      <c r="AA50">
        <v>2006973407</v>
      </c>
      <c r="AB50">
        <v>2465689965</v>
      </c>
      <c r="AC50">
        <v>2216272700</v>
      </c>
      <c r="AD50">
        <v>2007608082</v>
      </c>
      <c r="AE50">
        <v>1898442337</v>
      </c>
      <c r="AF50">
        <v>1972879256</v>
      </c>
      <c r="AG50">
        <v>1675785505</v>
      </c>
      <c r="AH50">
        <v>1287657492</v>
      </c>
      <c r="AI50">
        <v>1281784265</v>
      </c>
      <c r="AJ50">
        <v>1145418740</v>
      </c>
      <c r="AK50">
        <v>1270664076</v>
      </c>
      <c r="AL50">
        <v>1173042629</v>
      </c>
      <c r="AM50">
        <v>1054527686</v>
      </c>
      <c r="AN50">
        <v>916376160</v>
      </c>
      <c r="AO50">
        <v>771929899</v>
      </c>
    </row>
    <row r="51" spans="1:41" ht="15.6" x14ac:dyDescent="0.3">
      <c r="A51" t="s">
        <v>79</v>
      </c>
      <c r="H51">
        <v>0</v>
      </c>
      <c r="Q51">
        <v>0</v>
      </c>
      <c r="S51">
        <v>0</v>
      </c>
      <c r="T51">
        <v>0</v>
      </c>
      <c r="U51">
        <v>0</v>
      </c>
      <c r="V51">
        <v>0</v>
      </c>
      <c r="W51">
        <v>11181406</v>
      </c>
      <c r="X51">
        <v>22279406</v>
      </c>
      <c r="Y51">
        <v>36232297</v>
      </c>
      <c r="Z51">
        <v>171160435</v>
      </c>
      <c r="AA51">
        <v>79680483</v>
      </c>
      <c r="AB51">
        <v>167919508</v>
      </c>
      <c r="AC51">
        <v>181704841</v>
      </c>
      <c r="AD51">
        <v>315499900</v>
      </c>
      <c r="AE51">
        <v>246368464</v>
      </c>
      <c r="AF51">
        <v>258617101</v>
      </c>
      <c r="AG51">
        <v>224268741</v>
      </c>
      <c r="AH51">
        <v>233266964</v>
      </c>
      <c r="AI51">
        <v>259814613</v>
      </c>
      <c r="AJ51">
        <v>391418959</v>
      </c>
      <c r="AK51">
        <v>371836242</v>
      </c>
      <c r="AL51">
        <v>278538132</v>
      </c>
      <c r="AM51">
        <v>290803980</v>
      </c>
      <c r="AN51">
        <v>157857024</v>
      </c>
      <c r="AO51">
        <v>121083603</v>
      </c>
    </row>
    <row r="52" spans="1:41" ht="15.6" x14ac:dyDescent="0.3">
      <c r="A52" t="s">
        <v>80</v>
      </c>
      <c r="B52" s="2">
        <v>5264970576</v>
      </c>
      <c r="C52">
        <v>4801524057</v>
      </c>
      <c r="D52">
        <v>5599878533.9776964</v>
      </c>
      <c r="E52">
        <v>8504000502.3143826</v>
      </c>
      <c r="F52">
        <v>7759762210.9327478</v>
      </c>
      <c r="G52">
        <v>8972783206.6999283</v>
      </c>
      <c r="H52">
        <v>10241366970.690599</v>
      </c>
      <c r="I52">
        <v>7760734490.8748808</v>
      </c>
      <c r="J52">
        <v>8310842221.5602293</v>
      </c>
      <c r="K52">
        <v>6946628445.9945688</v>
      </c>
      <c r="L52">
        <v>2721499127</v>
      </c>
      <c r="M52">
        <v>1845056606</v>
      </c>
      <c r="N52">
        <v>2148028632</v>
      </c>
      <c r="O52">
        <v>7301632620.3957644</v>
      </c>
      <c r="P52">
        <v>2942359826</v>
      </c>
      <c r="Q52">
        <v>2255669103</v>
      </c>
      <c r="R52">
        <v>1734125728</v>
      </c>
      <c r="S52">
        <v>2019865531</v>
      </c>
      <c r="T52">
        <v>1470043518</v>
      </c>
      <c r="U52">
        <v>952477934</v>
      </c>
      <c r="V52">
        <v>719860058</v>
      </c>
      <c r="W52">
        <v>779913222</v>
      </c>
      <c r="X52">
        <v>694677760</v>
      </c>
      <c r="Y52">
        <v>720040574</v>
      </c>
      <c r="Z52">
        <v>636966608</v>
      </c>
      <c r="AA52">
        <v>599548139</v>
      </c>
      <c r="AB52">
        <v>508887596</v>
      </c>
      <c r="AC52">
        <v>422191271</v>
      </c>
      <c r="AD52">
        <v>479823228</v>
      </c>
      <c r="AE52">
        <v>551532389</v>
      </c>
      <c r="AF52">
        <v>507866815</v>
      </c>
      <c r="AG52">
        <v>424237578</v>
      </c>
      <c r="AH52">
        <v>602833509</v>
      </c>
      <c r="AI52">
        <v>489602933</v>
      </c>
      <c r="AJ52">
        <v>449222029</v>
      </c>
      <c r="AK52">
        <v>511080438</v>
      </c>
      <c r="AL52">
        <v>387441489</v>
      </c>
      <c r="AM52">
        <v>344426682</v>
      </c>
      <c r="AN52">
        <v>513805341</v>
      </c>
      <c r="AO52">
        <v>416829269</v>
      </c>
    </row>
    <row r="53" spans="1:41" ht="15.6" x14ac:dyDescent="0.3">
      <c r="A53" t="s">
        <v>81</v>
      </c>
      <c r="G53">
        <v>0</v>
      </c>
      <c r="H53">
        <v>0</v>
      </c>
      <c r="Q53">
        <v>0</v>
      </c>
      <c r="S53">
        <v>0</v>
      </c>
      <c r="AF53">
        <v>0</v>
      </c>
      <c r="AJ53">
        <v>0</v>
      </c>
    </row>
    <row r="54" spans="1:41" ht="15.6" x14ac:dyDescent="0.3">
      <c r="A54" t="s">
        <v>82</v>
      </c>
      <c r="B54" s="2">
        <v>296926651</v>
      </c>
      <c r="C54">
        <v>104363481</v>
      </c>
      <c r="D54">
        <v>158427628.20144805</v>
      </c>
      <c r="E54">
        <v>189567541.74994969</v>
      </c>
      <c r="F54">
        <v>230305805.65810964</v>
      </c>
      <c r="G54">
        <v>118906332.61387587</v>
      </c>
      <c r="H54">
        <v>245041601.52309439</v>
      </c>
      <c r="I54">
        <v>174979732.3344903</v>
      </c>
      <c r="J54">
        <v>169229104.09407941</v>
      </c>
      <c r="K54">
        <v>141854276.88609263</v>
      </c>
      <c r="L54">
        <v>62162144</v>
      </c>
      <c r="M54">
        <v>43406026</v>
      </c>
      <c r="N54">
        <v>50921361</v>
      </c>
      <c r="O54">
        <v>80580224.269455403</v>
      </c>
      <c r="P54">
        <v>34278146</v>
      </c>
      <c r="Q54">
        <v>29987421</v>
      </c>
      <c r="R54">
        <v>26910715</v>
      </c>
      <c r="S54">
        <v>18189037</v>
      </c>
      <c r="T54">
        <v>12647326</v>
      </c>
      <c r="U54">
        <v>10602133</v>
      </c>
      <c r="V54">
        <v>10270512</v>
      </c>
      <c r="W54">
        <v>8597007</v>
      </c>
      <c r="X54">
        <v>8416263</v>
      </c>
      <c r="Y54">
        <v>7929647</v>
      </c>
      <c r="Z54">
        <v>8063983</v>
      </c>
      <c r="AA54">
        <v>8800399</v>
      </c>
      <c r="AB54">
        <v>9559915</v>
      </c>
      <c r="AC54">
        <v>10488864</v>
      </c>
      <c r="AD54">
        <v>9193750</v>
      </c>
      <c r="AE54">
        <v>7263796</v>
      </c>
      <c r="AF54">
        <v>7920410</v>
      </c>
      <c r="AG54">
        <v>8148367</v>
      </c>
      <c r="AH54">
        <v>6875617</v>
      </c>
      <c r="AI54">
        <v>8876262</v>
      </c>
      <c r="AJ54">
        <v>7973708</v>
      </c>
      <c r="AK54">
        <v>6624849</v>
      </c>
      <c r="AL54">
        <v>6943684</v>
      </c>
      <c r="AM54">
        <v>4861166</v>
      </c>
      <c r="AN54">
        <v>4437828</v>
      </c>
      <c r="AO54">
        <v>3776812</v>
      </c>
    </row>
    <row r="55" spans="1:41" ht="15.6" x14ac:dyDescent="0.3">
      <c r="A55" t="s">
        <v>83</v>
      </c>
      <c r="B55" s="2">
        <v>278714755</v>
      </c>
      <c r="C55">
        <v>543901801</v>
      </c>
      <c r="D55">
        <v>371980223.78625101</v>
      </c>
      <c r="E55">
        <v>566719856.99421167</v>
      </c>
      <c r="F55">
        <v>165275471.49435642</v>
      </c>
      <c r="G55">
        <v>537885322.35642755</v>
      </c>
      <c r="H55">
        <v>335312673.13592178</v>
      </c>
      <c r="I55">
        <v>360233265.25751424</v>
      </c>
      <c r="J55">
        <v>1992702309.2002511</v>
      </c>
      <c r="K55">
        <v>1481183896.3654692</v>
      </c>
      <c r="L55">
        <v>599464353</v>
      </c>
      <c r="M55">
        <v>687918108</v>
      </c>
      <c r="N55">
        <v>594441767</v>
      </c>
      <c r="O55">
        <v>1620871362.4387596</v>
      </c>
      <c r="P55">
        <v>228650290</v>
      </c>
      <c r="Q55">
        <v>415221152</v>
      </c>
      <c r="R55">
        <v>459123594</v>
      </c>
      <c r="S55">
        <v>351950634</v>
      </c>
      <c r="T55">
        <v>231317612</v>
      </c>
      <c r="U55">
        <v>230809622</v>
      </c>
      <c r="V55">
        <v>274063600</v>
      </c>
      <c r="W55">
        <v>197359546</v>
      </c>
      <c r="X55">
        <v>48360974</v>
      </c>
      <c r="Y55">
        <v>31264099</v>
      </c>
      <c r="Z55">
        <v>29831333</v>
      </c>
      <c r="AA55">
        <v>36700505</v>
      </c>
      <c r="AB55">
        <v>37796543</v>
      </c>
      <c r="AC55">
        <v>51722881</v>
      </c>
      <c r="AD55">
        <v>13906723</v>
      </c>
      <c r="AE55">
        <v>24147589</v>
      </c>
      <c r="AF55">
        <v>226873548</v>
      </c>
      <c r="AG55">
        <v>25134484</v>
      </c>
      <c r="AH55">
        <v>22643283</v>
      </c>
      <c r="AI55">
        <v>23837905</v>
      </c>
      <c r="AJ55">
        <v>10416466</v>
      </c>
      <c r="AK55">
        <v>13035034</v>
      </c>
      <c r="AL55">
        <v>11964658</v>
      </c>
      <c r="AM55">
        <v>14624568</v>
      </c>
      <c r="AN55">
        <v>15169931</v>
      </c>
      <c r="AO55">
        <v>17088426</v>
      </c>
    </row>
    <row r="56" spans="1:41" ht="15.6" x14ac:dyDescent="0.3">
      <c r="A56" t="s">
        <v>84</v>
      </c>
      <c r="H56">
        <v>0</v>
      </c>
      <c r="Q56">
        <v>0</v>
      </c>
      <c r="S56">
        <v>0</v>
      </c>
    </row>
    <row r="57" spans="1:41" ht="15.6" x14ac:dyDescent="0.3">
      <c r="A57" t="s">
        <v>85</v>
      </c>
    </row>
    <row r="58" spans="1:41" ht="15.6" x14ac:dyDescent="0.3">
      <c r="A58" t="s">
        <v>52</v>
      </c>
      <c r="B58" s="2">
        <v>26884739</v>
      </c>
      <c r="C58">
        <v>57659136</v>
      </c>
      <c r="D58">
        <v>73731616.177101582</v>
      </c>
      <c r="E58">
        <v>111220098.4962949</v>
      </c>
      <c r="F58">
        <v>53498325.11728134</v>
      </c>
      <c r="G58">
        <v>54690188.675420545</v>
      </c>
      <c r="H58">
        <v>26144114.758756373</v>
      </c>
      <c r="I58">
        <v>13361048.925214183</v>
      </c>
      <c r="K58">
        <v>0</v>
      </c>
      <c r="L58">
        <v>0</v>
      </c>
      <c r="M58">
        <v>0</v>
      </c>
      <c r="N58">
        <v>0</v>
      </c>
      <c r="P58">
        <v>0</v>
      </c>
      <c r="Q58">
        <v>16630195</v>
      </c>
      <c r="R58">
        <v>23674900</v>
      </c>
      <c r="S58">
        <v>83074399</v>
      </c>
      <c r="T58">
        <v>45051376</v>
      </c>
      <c r="U58">
        <v>59837847</v>
      </c>
      <c r="V58">
        <v>155378404</v>
      </c>
      <c r="W58">
        <v>60716151</v>
      </c>
      <c r="X58">
        <v>64720994</v>
      </c>
      <c r="Y58">
        <v>62909559</v>
      </c>
      <c r="Z58">
        <v>57171923</v>
      </c>
      <c r="AA58">
        <v>33642251</v>
      </c>
      <c r="AB58">
        <v>37495856</v>
      </c>
      <c r="AC58">
        <v>23979874</v>
      </c>
      <c r="AD58">
        <v>20890088</v>
      </c>
      <c r="AE58">
        <v>8293208</v>
      </c>
      <c r="AF58">
        <v>0</v>
      </c>
      <c r="AH58">
        <v>4362776</v>
      </c>
      <c r="AI58">
        <v>3052466</v>
      </c>
      <c r="AJ58">
        <v>0</v>
      </c>
      <c r="AK58">
        <v>0</v>
      </c>
      <c r="AL58">
        <v>0</v>
      </c>
      <c r="AM58">
        <v>0</v>
      </c>
      <c r="AN58">
        <v>2439451</v>
      </c>
      <c r="AO58">
        <v>9623148</v>
      </c>
    </row>
    <row r="59" spans="1:41" ht="15.6" x14ac:dyDescent="0.3">
      <c r="A59" t="s">
        <v>86</v>
      </c>
    </row>
    <row r="60" spans="1:41" ht="15.6" x14ac:dyDescent="0.3">
      <c r="A60" t="s">
        <v>87</v>
      </c>
      <c r="H60">
        <v>0</v>
      </c>
      <c r="J60">
        <v>0</v>
      </c>
      <c r="Q60">
        <v>0</v>
      </c>
      <c r="S60">
        <v>0</v>
      </c>
      <c r="AF60">
        <v>54621</v>
      </c>
      <c r="AG60">
        <v>390093</v>
      </c>
      <c r="AH60">
        <v>722157</v>
      </c>
      <c r="AI60">
        <v>1050813</v>
      </c>
      <c r="AJ60">
        <v>2540811</v>
      </c>
      <c r="AK60">
        <v>2933549</v>
      </c>
      <c r="AL60">
        <v>3008850</v>
      </c>
      <c r="AM60">
        <v>619344</v>
      </c>
    </row>
    <row r="61" spans="1:41" ht="15.6" x14ac:dyDescent="0.3">
      <c r="A61" t="s">
        <v>88</v>
      </c>
      <c r="B61" s="2">
        <v>1124767106</v>
      </c>
      <c r="C61">
        <v>1127815363</v>
      </c>
      <c r="D61">
        <v>698103484.84980488</v>
      </c>
      <c r="E61">
        <v>1001543933.2508836</v>
      </c>
      <c r="F61">
        <v>1846140749.8274469</v>
      </c>
      <c r="G61">
        <v>1497834095.4301155</v>
      </c>
      <c r="H61">
        <v>850445916.7138344</v>
      </c>
      <c r="I61">
        <v>544290149.2770201</v>
      </c>
      <c r="J61">
        <v>1148659880.1810453</v>
      </c>
      <c r="K61">
        <v>2834493050.989357</v>
      </c>
      <c r="L61">
        <v>991286369</v>
      </c>
      <c r="M61">
        <v>824345284</v>
      </c>
      <c r="N61">
        <v>299649945</v>
      </c>
      <c r="O61">
        <v>1962408862.206768</v>
      </c>
      <c r="P61">
        <v>529270187</v>
      </c>
      <c r="Q61">
        <v>450667430</v>
      </c>
      <c r="R61">
        <v>495472154</v>
      </c>
      <c r="S61">
        <v>626692702</v>
      </c>
      <c r="T61">
        <v>431322611</v>
      </c>
      <c r="U61">
        <v>374772017</v>
      </c>
      <c r="V61">
        <v>240224713</v>
      </c>
      <c r="W61">
        <v>183176286</v>
      </c>
      <c r="X61">
        <v>294403655</v>
      </c>
      <c r="Y61">
        <v>218317723</v>
      </c>
      <c r="Z61">
        <v>185124985</v>
      </c>
      <c r="AA61">
        <v>167942891</v>
      </c>
      <c r="AB61">
        <v>67975060</v>
      </c>
      <c r="AC61">
        <v>102082547</v>
      </c>
      <c r="AD61">
        <v>85577635</v>
      </c>
      <c r="AE61">
        <v>71354527</v>
      </c>
      <c r="AF61">
        <v>41093935</v>
      </c>
      <c r="AG61">
        <v>27619156</v>
      </c>
      <c r="AH61">
        <v>10591613</v>
      </c>
      <c r="AI61">
        <v>2732752</v>
      </c>
      <c r="AJ61">
        <v>4137533</v>
      </c>
      <c r="AK61">
        <v>2629077</v>
      </c>
      <c r="AL61">
        <v>6012824</v>
      </c>
      <c r="AM61">
        <v>8664346</v>
      </c>
      <c r="AN61">
        <v>2309385</v>
      </c>
      <c r="AO61">
        <v>5064754</v>
      </c>
    </row>
    <row r="62" spans="1:41" ht="15.6" x14ac:dyDescent="0.3">
      <c r="A62" t="s">
        <v>89</v>
      </c>
      <c r="B62" s="2">
        <v>305484908</v>
      </c>
      <c r="C62">
        <v>310435876</v>
      </c>
      <c r="D62">
        <v>225329948.24765238</v>
      </c>
      <c r="E62">
        <v>244050361.05001327</v>
      </c>
      <c r="F62">
        <v>240177350.02659503</v>
      </c>
      <c r="G62">
        <v>249094149.08376804</v>
      </c>
      <c r="H62">
        <v>107717401.57739019</v>
      </c>
      <c r="I62">
        <v>91533567.845366463</v>
      </c>
      <c r="J62">
        <v>91912639.512337163</v>
      </c>
      <c r="K62">
        <v>83370754.421172991</v>
      </c>
      <c r="L62">
        <v>45808065</v>
      </c>
      <c r="M62">
        <v>42566607</v>
      </c>
      <c r="N62">
        <v>27056055</v>
      </c>
      <c r="O62">
        <v>81936640.260387868</v>
      </c>
      <c r="P62">
        <v>78741355</v>
      </c>
      <c r="Q62">
        <v>70095521</v>
      </c>
      <c r="R62">
        <v>13514048</v>
      </c>
      <c r="S62">
        <v>11369329</v>
      </c>
      <c r="T62">
        <v>10062684</v>
      </c>
      <c r="U62">
        <v>13719953</v>
      </c>
      <c r="V62">
        <v>25600569</v>
      </c>
      <c r="W62">
        <v>23855979</v>
      </c>
      <c r="X62">
        <v>10948730</v>
      </c>
      <c r="Y62">
        <v>24492260</v>
      </c>
      <c r="Z62">
        <v>5454924</v>
      </c>
      <c r="AA62">
        <v>5136526</v>
      </c>
      <c r="AB62">
        <v>2240048</v>
      </c>
      <c r="AC62">
        <v>2135558</v>
      </c>
      <c r="AD62">
        <v>1987597</v>
      </c>
      <c r="AE62">
        <v>2158292</v>
      </c>
      <c r="AF62">
        <v>2140835</v>
      </c>
      <c r="AG62">
        <v>2654807</v>
      </c>
      <c r="AH62">
        <v>2670648</v>
      </c>
      <c r="AI62">
        <v>2371672</v>
      </c>
      <c r="AJ62">
        <v>2192499</v>
      </c>
      <c r="AK62">
        <v>2267993</v>
      </c>
      <c r="AL62">
        <v>2156062</v>
      </c>
      <c r="AM62">
        <v>2034761</v>
      </c>
      <c r="AN62">
        <v>2392289</v>
      </c>
      <c r="AO62">
        <v>2572103</v>
      </c>
    </row>
    <row r="63" spans="1:41" ht="15.6" x14ac:dyDescent="0.3">
      <c r="A63" t="s">
        <v>90</v>
      </c>
      <c r="B63" s="2">
        <v>56445509</v>
      </c>
      <c r="C63">
        <v>177577370</v>
      </c>
      <c r="D63">
        <v>221762495.26951608</v>
      </c>
      <c r="E63">
        <v>458416988.81734389</v>
      </c>
      <c r="F63">
        <v>521505463.23448485</v>
      </c>
      <c r="G63">
        <v>638533985.05711937</v>
      </c>
      <c r="H63">
        <v>503259492.77572286</v>
      </c>
      <c r="I63">
        <v>97921393.849445313</v>
      </c>
      <c r="J63">
        <v>77679753.468204752</v>
      </c>
      <c r="K63">
        <v>71217047.078296185</v>
      </c>
      <c r="L63">
        <v>33849972</v>
      </c>
      <c r="M63">
        <v>32899124</v>
      </c>
      <c r="N63">
        <v>22010382</v>
      </c>
      <c r="O63">
        <v>58431052.257343851</v>
      </c>
      <c r="P63">
        <v>476919</v>
      </c>
      <c r="Q63">
        <v>451780</v>
      </c>
      <c r="R63">
        <v>445000</v>
      </c>
      <c r="S63">
        <v>1305233</v>
      </c>
      <c r="T63">
        <v>12908452</v>
      </c>
      <c r="U63">
        <v>8508981</v>
      </c>
      <c r="V63">
        <v>7530050</v>
      </c>
      <c r="W63">
        <v>7406200</v>
      </c>
      <c r="X63">
        <v>7473520</v>
      </c>
      <c r="Y63">
        <v>5482392</v>
      </c>
      <c r="Z63">
        <v>9665386</v>
      </c>
      <c r="AA63">
        <v>5985809</v>
      </c>
      <c r="AB63">
        <v>4861842</v>
      </c>
      <c r="AC63">
        <v>5797831</v>
      </c>
      <c r="AD63">
        <v>16670917</v>
      </c>
      <c r="AE63">
        <v>17955012</v>
      </c>
      <c r="AF63">
        <v>13865038</v>
      </c>
      <c r="AG63">
        <v>16652437</v>
      </c>
      <c r="AH63">
        <v>14820000</v>
      </c>
      <c r="AI63">
        <v>70694151</v>
      </c>
      <c r="AJ63">
        <v>134102362</v>
      </c>
      <c r="AK63">
        <v>143408661</v>
      </c>
      <c r="AL63">
        <v>1873622</v>
      </c>
      <c r="AM63">
        <v>1907905</v>
      </c>
      <c r="AN63">
        <v>488</v>
      </c>
      <c r="AO63">
        <v>4320</v>
      </c>
    </row>
    <row r="64" spans="1:41" ht="15.6" x14ac:dyDescent="0.3">
      <c r="A64" t="s">
        <v>91</v>
      </c>
      <c r="AI64">
        <v>0</v>
      </c>
      <c r="AJ64">
        <v>234704881</v>
      </c>
      <c r="AK64">
        <v>401755659</v>
      </c>
      <c r="AL64">
        <v>358088082</v>
      </c>
      <c r="AM64">
        <v>369543650</v>
      </c>
    </row>
    <row r="65" spans="1:41" ht="15.6" x14ac:dyDescent="0.3">
      <c r="A65" t="s">
        <v>92</v>
      </c>
    </row>
    <row r="66" spans="1:41" ht="15.6" x14ac:dyDescent="0.3">
      <c r="A66" t="s">
        <v>93</v>
      </c>
      <c r="B66" s="2">
        <v>29315872774</v>
      </c>
      <c r="C66">
        <v>28872275862</v>
      </c>
      <c r="D66">
        <v>28095912169.452374</v>
      </c>
      <c r="E66">
        <v>32225280446.097282</v>
      </c>
      <c r="F66">
        <v>29344763232.382496</v>
      </c>
      <c r="G66">
        <v>31276470112.188457</v>
      </c>
      <c r="H66">
        <v>31983392395.360229</v>
      </c>
      <c r="I66">
        <v>28217840667.62468</v>
      </c>
      <c r="J66">
        <v>30931101820.00742</v>
      </c>
      <c r="K66">
        <v>28628098026.864155</v>
      </c>
      <c r="L66">
        <v>11034427646</v>
      </c>
      <c r="M66">
        <v>9662879118</v>
      </c>
      <c r="N66">
        <v>7732033802</v>
      </c>
      <c r="O66">
        <v>27358308351.485767</v>
      </c>
      <c r="P66">
        <v>7918215972</v>
      </c>
      <c r="Q66">
        <v>7278884733</v>
      </c>
      <c r="R66">
        <v>6392185008</v>
      </c>
      <c r="S66">
        <v>6271870323</v>
      </c>
      <c r="T66">
        <v>4880186494</v>
      </c>
      <c r="U66">
        <v>4241258763</v>
      </c>
      <c r="V66">
        <v>3391855313</v>
      </c>
      <c r="W66">
        <v>3297663524</v>
      </c>
      <c r="X66">
        <v>3312511612</v>
      </c>
      <c r="Y66">
        <v>3247829410</v>
      </c>
      <c r="Z66">
        <v>3308875748</v>
      </c>
      <c r="AA66">
        <v>2944410410</v>
      </c>
      <c r="AB66">
        <v>3302426333</v>
      </c>
      <c r="AC66">
        <v>3016376367</v>
      </c>
      <c r="AD66">
        <v>2951157920</v>
      </c>
      <c r="AE66">
        <v>2827515614</v>
      </c>
      <c r="AF66">
        <v>3031311559</v>
      </c>
      <c r="AG66">
        <v>2404891168</v>
      </c>
      <c r="AH66">
        <v>2186444059</v>
      </c>
      <c r="AI66">
        <v>2143817832</v>
      </c>
      <c r="AJ66">
        <v>2382127988</v>
      </c>
      <c r="AK66">
        <v>2726235578</v>
      </c>
      <c r="AL66">
        <v>2229070032</v>
      </c>
      <c r="AM66">
        <v>2092014088</v>
      </c>
      <c r="AN66">
        <v>1614787897</v>
      </c>
      <c r="AO66">
        <v>1347972334</v>
      </c>
    </row>
    <row r="67" spans="1:41" ht="15.6" x14ac:dyDescent="0.3">
      <c r="A67" t="s">
        <v>94</v>
      </c>
    </row>
    <row r="68" spans="1:41" ht="15.6" x14ac:dyDescent="0.3">
      <c r="A68" t="s">
        <v>78</v>
      </c>
      <c r="B68" s="2">
        <v>35351855390</v>
      </c>
      <c r="C68">
        <v>38138980625</v>
      </c>
      <c r="D68">
        <v>35871182646.245468</v>
      </c>
      <c r="E68">
        <v>32196128184.170616</v>
      </c>
      <c r="F68">
        <v>25574900782.033852</v>
      </c>
      <c r="G68">
        <v>21363478242.484161</v>
      </c>
      <c r="H68">
        <v>17832086063.832436</v>
      </c>
      <c r="I68">
        <v>17950240262.445827</v>
      </c>
      <c r="J68">
        <v>15327961243.706091</v>
      </c>
      <c r="K68">
        <v>10880724155.893354</v>
      </c>
      <c r="L68">
        <v>3974141446</v>
      </c>
      <c r="M68">
        <v>4389778754</v>
      </c>
      <c r="N68">
        <v>3387759228</v>
      </c>
      <c r="O68">
        <v>13244764294.700537</v>
      </c>
      <c r="P68">
        <v>4104303283</v>
      </c>
      <c r="Q68">
        <v>3131133756</v>
      </c>
      <c r="R68">
        <v>2882698439</v>
      </c>
      <c r="S68">
        <v>2503301060</v>
      </c>
      <c r="T68">
        <v>1618887190</v>
      </c>
      <c r="U68">
        <v>1718423535</v>
      </c>
      <c r="V68">
        <v>780753773</v>
      </c>
      <c r="W68">
        <v>909684729</v>
      </c>
      <c r="X68">
        <v>980935620</v>
      </c>
      <c r="Y68">
        <v>1307553370</v>
      </c>
      <c r="Z68">
        <v>1127799042</v>
      </c>
      <c r="AA68">
        <v>1168440696</v>
      </c>
      <c r="AB68">
        <v>1099211197</v>
      </c>
      <c r="AC68">
        <v>1436831001</v>
      </c>
      <c r="AD68">
        <v>1538074058</v>
      </c>
      <c r="AE68">
        <v>1586768204</v>
      </c>
      <c r="AF68">
        <v>1767263275</v>
      </c>
      <c r="AG68">
        <v>1314636292</v>
      </c>
      <c r="AH68">
        <v>1246256928</v>
      </c>
      <c r="AI68">
        <v>1158627222</v>
      </c>
      <c r="AJ68">
        <v>1096826198</v>
      </c>
      <c r="AK68">
        <v>1132625126</v>
      </c>
      <c r="AL68">
        <v>1299535919</v>
      </c>
      <c r="AM68">
        <v>1366741968</v>
      </c>
      <c r="AN68">
        <v>1509520106</v>
      </c>
      <c r="AO68">
        <v>1540460545</v>
      </c>
    </row>
    <row r="69" spans="1:41" ht="15.6" x14ac:dyDescent="0.3">
      <c r="A69" t="s">
        <v>79</v>
      </c>
      <c r="Q69">
        <v>0</v>
      </c>
      <c r="S69">
        <v>0</v>
      </c>
      <c r="U69">
        <v>0</v>
      </c>
      <c r="V69">
        <v>0</v>
      </c>
      <c r="X69">
        <v>0</v>
      </c>
      <c r="Y69">
        <v>0</v>
      </c>
      <c r="Z69">
        <v>0</v>
      </c>
      <c r="AA69">
        <v>8361393</v>
      </c>
      <c r="AB69">
        <v>16716054</v>
      </c>
      <c r="AC69">
        <v>37109150</v>
      </c>
      <c r="AD69">
        <v>54320445</v>
      </c>
      <c r="AE69">
        <v>13919586</v>
      </c>
      <c r="AF69">
        <v>21120989</v>
      </c>
      <c r="AG69">
        <v>54787563</v>
      </c>
      <c r="AH69">
        <v>128977522</v>
      </c>
      <c r="AI69">
        <v>136278110</v>
      </c>
      <c r="AJ69">
        <v>143386977</v>
      </c>
      <c r="AK69">
        <v>152840027</v>
      </c>
      <c r="AL69">
        <v>239374957</v>
      </c>
      <c r="AM69">
        <v>251312465</v>
      </c>
      <c r="AN69">
        <v>369286638</v>
      </c>
      <c r="AO69">
        <v>337082902</v>
      </c>
    </row>
    <row r="70" spans="1:41" ht="15.6" x14ac:dyDescent="0.3">
      <c r="A70" t="s">
        <v>80</v>
      </c>
      <c r="Q70">
        <v>0</v>
      </c>
      <c r="S70">
        <v>0</v>
      </c>
      <c r="AJ70">
        <v>0</v>
      </c>
    </row>
    <row r="71" spans="1:41" ht="15.6" x14ac:dyDescent="0.3">
      <c r="A71" t="s">
        <v>81</v>
      </c>
      <c r="Q71">
        <v>0</v>
      </c>
      <c r="S71">
        <v>0</v>
      </c>
      <c r="AJ71">
        <v>0</v>
      </c>
    </row>
    <row r="72" spans="1:41" ht="15.6" x14ac:dyDescent="0.3">
      <c r="A72" t="s">
        <v>82</v>
      </c>
      <c r="AJ72">
        <v>3850653</v>
      </c>
      <c r="AO72">
        <v>5416196</v>
      </c>
    </row>
    <row r="73" spans="1:41" ht="15.6" x14ac:dyDescent="0.3">
      <c r="A73" t="s">
        <v>83</v>
      </c>
      <c r="H73">
        <v>0</v>
      </c>
      <c r="I73">
        <v>0</v>
      </c>
      <c r="J73">
        <v>2567718922.0003743</v>
      </c>
      <c r="K73">
        <v>2068984632.8196905</v>
      </c>
      <c r="L73">
        <v>987709585</v>
      </c>
      <c r="M73">
        <v>942778597</v>
      </c>
      <c r="N73">
        <v>745251851</v>
      </c>
      <c r="O73">
        <v>2006989010.8849077</v>
      </c>
      <c r="P73">
        <v>726857525</v>
      </c>
      <c r="Q73">
        <v>654783779</v>
      </c>
      <c r="R73">
        <v>575309394</v>
      </c>
      <c r="S73">
        <v>417527881</v>
      </c>
      <c r="T73">
        <v>7254333</v>
      </c>
      <c r="U73">
        <v>14508667</v>
      </c>
      <c r="V73">
        <v>20815000</v>
      </c>
      <c r="W73">
        <v>72221252</v>
      </c>
      <c r="X73">
        <v>32533333</v>
      </c>
      <c r="Y73">
        <v>34211000</v>
      </c>
      <c r="Z73">
        <v>38010000</v>
      </c>
      <c r="AA73">
        <v>39601341</v>
      </c>
      <c r="AJ73">
        <v>0</v>
      </c>
    </row>
    <row r="74" spans="1:41" ht="15.6" x14ac:dyDescent="0.3">
      <c r="A74" t="s">
        <v>84</v>
      </c>
      <c r="Q74">
        <v>0</v>
      </c>
      <c r="S74">
        <v>0</v>
      </c>
    </row>
    <row r="75" spans="1:41" ht="15.6" x14ac:dyDescent="0.3">
      <c r="A75" t="s">
        <v>86</v>
      </c>
    </row>
    <row r="76" spans="1:41" ht="15.6" x14ac:dyDescent="0.3">
      <c r="A76" t="s">
        <v>85</v>
      </c>
    </row>
    <row r="77" spans="1:41" ht="15.6" x14ac:dyDescent="0.3">
      <c r="A77" t="s">
        <v>52</v>
      </c>
      <c r="Q77">
        <v>0</v>
      </c>
      <c r="S77">
        <v>0</v>
      </c>
      <c r="AJ77">
        <v>0</v>
      </c>
    </row>
    <row r="78" spans="1:41" ht="15.6" x14ac:dyDescent="0.3">
      <c r="A78" t="s">
        <v>86</v>
      </c>
    </row>
    <row r="79" spans="1:41" ht="15.6" x14ac:dyDescent="0.3">
      <c r="A79" t="s">
        <v>87</v>
      </c>
      <c r="Q79">
        <v>0</v>
      </c>
      <c r="S79">
        <v>0</v>
      </c>
      <c r="AJ79">
        <v>0</v>
      </c>
    </row>
    <row r="80" spans="1:41" ht="15.6" x14ac:dyDescent="0.3">
      <c r="A80" t="s">
        <v>95</v>
      </c>
      <c r="B80" s="2">
        <v>207660727</v>
      </c>
      <c r="C80">
        <v>215302954</v>
      </c>
      <c r="D80">
        <v>250314963.36581513</v>
      </c>
      <c r="E80">
        <v>263293951.88628969</v>
      </c>
      <c r="F80">
        <v>266508351.12030026</v>
      </c>
      <c r="G80">
        <v>250909784.92951646</v>
      </c>
      <c r="H80">
        <v>272972617.14139241</v>
      </c>
      <c r="I80">
        <v>283886931.50295132</v>
      </c>
      <c r="J80">
        <v>285958919.2775594</v>
      </c>
      <c r="K80">
        <v>293824467.31348646</v>
      </c>
      <c r="L80">
        <v>122623406</v>
      </c>
      <c r="M80">
        <v>113516474</v>
      </c>
      <c r="N80">
        <v>94109043</v>
      </c>
      <c r="O80">
        <v>299254611.14928633</v>
      </c>
      <c r="P80">
        <v>16847413</v>
      </c>
      <c r="Q80">
        <v>15060132</v>
      </c>
      <c r="R80">
        <v>12099198</v>
      </c>
      <c r="S80">
        <v>9588781</v>
      </c>
      <c r="T80">
        <v>6913360</v>
      </c>
      <c r="U80">
        <v>6749333</v>
      </c>
      <c r="V80">
        <v>6639857</v>
      </c>
      <c r="W80">
        <v>9346433</v>
      </c>
      <c r="X80">
        <v>8007546</v>
      </c>
      <c r="Y80">
        <v>6860810</v>
      </c>
      <c r="Z80">
        <v>6464634</v>
      </c>
      <c r="AA80">
        <v>4715939</v>
      </c>
      <c r="AB80">
        <v>4658683</v>
      </c>
      <c r="AC80">
        <v>4784841</v>
      </c>
      <c r="AD80">
        <v>5080057</v>
      </c>
      <c r="AE80">
        <v>4350528</v>
      </c>
      <c r="AF80">
        <v>3760183</v>
      </c>
      <c r="AG80">
        <v>3478286</v>
      </c>
      <c r="AH80">
        <v>2850729</v>
      </c>
      <c r="AI80">
        <v>3000204</v>
      </c>
      <c r="AJ80">
        <v>0</v>
      </c>
      <c r="AK80">
        <v>2901105</v>
      </c>
      <c r="AL80">
        <v>3758989</v>
      </c>
      <c r="AM80">
        <v>2899099</v>
      </c>
      <c r="AN80">
        <v>3253650</v>
      </c>
    </row>
    <row r="81" spans="1:41" ht="15.6" x14ac:dyDescent="0.3">
      <c r="A81" t="s">
        <v>96</v>
      </c>
    </row>
    <row r="82" spans="1:41" ht="15.6" x14ac:dyDescent="0.3">
      <c r="A82" t="s">
        <v>97</v>
      </c>
      <c r="B82" s="2">
        <v>3999077132</v>
      </c>
      <c r="C82">
        <v>3704788585</v>
      </c>
      <c r="D82">
        <v>2266695387.8605733</v>
      </c>
      <c r="E82">
        <v>2527704900.3639841</v>
      </c>
      <c r="F82">
        <v>2321747808.1180091</v>
      </c>
      <c r="G82">
        <v>2190920003.3339481</v>
      </c>
      <c r="H82">
        <v>2072216513.7603083</v>
      </c>
      <c r="I82">
        <v>2103034011.4246261</v>
      </c>
      <c r="J82">
        <v>2120098945.9845946</v>
      </c>
      <c r="K82">
        <v>2154903646.0325718</v>
      </c>
      <c r="L82">
        <v>2105972565</v>
      </c>
      <c r="M82">
        <v>1891896419</v>
      </c>
      <c r="N82">
        <v>1661536146</v>
      </c>
      <c r="O82">
        <v>4483387645.082736</v>
      </c>
      <c r="P82">
        <v>705475099</v>
      </c>
      <c r="Q82">
        <v>773946459</v>
      </c>
      <c r="R82">
        <v>794633498</v>
      </c>
      <c r="S82">
        <v>863041791</v>
      </c>
      <c r="T82">
        <v>460929131</v>
      </c>
      <c r="U82">
        <v>483306479</v>
      </c>
      <c r="V82">
        <v>498132286</v>
      </c>
      <c r="W82">
        <v>588434184</v>
      </c>
      <c r="X82">
        <v>503163005</v>
      </c>
      <c r="Y82">
        <v>485417476</v>
      </c>
      <c r="Z82">
        <v>473612624</v>
      </c>
      <c r="AA82">
        <v>516631304</v>
      </c>
      <c r="AB82">
        <v>161785497</v>
      </c>
      <c r="AC82">
        <v>173203381</v>
      </c>
      <c r="AD82">
        <v>232395182</v>
      </c>
      <c r="AE82">
        <v>187635924</v>
      </c>
      <c r="AF82">
        <v>82298501</v>
      </c>
      <c r="AG82">
        <v>72110689</v>
      </c>
      <c r="AH82">
        <v>72689149</v>
      </c>
      <c r="AI82">
        <v>99520213</v>
      </c>
      <c r="AJ82">
        <v>43497075</v>
      </c>
      <c r="AK82">
        <v>44054133</v>
      </c>
      <c r="AL82">
        <v>56291281</v>
      </c>
      <c r="AM82">
        <v>52187628</v>
      </c>
      <c r="AN82">
        <v>64756999</v>
      </c>
      <c r="AO82">
        <v>58618113</v>
      </c>
    </row>
    <row r="83" spans="1:41" ht="15.6" x14ac:dyDescent="0.3">
      <c r="A83" t="s">
        <v>98</v>
      </c>
      <c r="F83">
        <v>0</v>
      </c>
      <c r="Q83">
        <v>0</v>
      </c>
      <c r="S83">
        <v>0</v>
      </c>
      <c r="AJ83">
        <v>0</v>
      </c>
    </row>
    <row r="84" spans="1:41" ht="15.6" x14ac:dyDescent="0.3">
      <c r="A84" t="s">
        <v>99</v>
      </c>
      <c r="B84" s="2">
        <v>39558593249</v>
      </c>
      <c r="C84">
        <v>42059072164</v>
      </c>
      <c r="D84">
        <v>38388192997.471855</v>
      </c>
      <c r="E84">
        <v>34987127036.420891</v>
      </c>
      <c r="F84">
        <v>28163156941.272156</v>
      </c>
      <c r="G84">
        <v>23805308030.747627</v>
      </c>
      <c r="H84">
        <v>20177275194.734135</v>
      </c>
      <c r="I84">
        <v>20337161205.373402</v>
      </c>
      <c r="J84">
        <v>20301738030.968616</v>
      </c>
      <c r="K84">
        <v>15398436902.059101</v>
      </c>
      <c r="L84">
        <v>7190447002</v>
      </c>
      <c r="M84">
        <v>7337970244</v>
      </c>
      <c r="N84">
        <v>5888656268</v>
      </c>
      <c r="O84">
        <v>20034395561.817463</v>
      </c>
      <c r="P84">
        <v>5553483320</v>
      </c>
      <c r="Q84">
        <v>4574924126</v>
      </c>
      <c r="R84">
        <v>4264740529</v>
      </c>
      <c r="S84">
        <v>3793459513</v>
      </c>
      <c r="T84">
        <v>2093984014</v>
      </c>
      <c r="U84">
        <v>2222988014</v>
      </c>
      <c r="V84">
        <v>1306340916</v>
      </c>
      <c r="W84">
        <v>1579686598</v>
      </c>
      <c r="X84">
        <v>1524639504</v>
      </c>
      <c r="Y84">
        <v>1834042656</v>
      </c>
      <c r="Z84">
        <v>1645886300</v>
      </c>
      <c r="AA84">
        <v>1737750673</v>
      </c>
      <c r="AB84">
        <v>1282371431</v>
      </c>
      <c r="AC84">
        <v>1651928373</v>
      </c>
      <c r="AD84">
        <v>1829869742</v>
      </c>
      <c r="AE84">
        <v>1792674242</v>
      </c>
      <c r="AF84">
        <v>1874442948</v>
      </c>
      <c r="AG84">
        <v>1445012830</v>
      </c>
      <c r="AH84">
        <v>1450774328</v>
      </c>
      <c r="AI84">
        <v>1397425749</v>
      </c>
      <c r="AJ84">
        <v>1287560903</v>
      </c>
      <c r="AK84">
        <v>1332420391</v>
      </c>
      <c r="AL84">
        <v>1598961146</v>
      </c>
      <c r="AM84">
        <v>1673141160</v>
      </c>
      <c r="AN84">
        <v>1946817393</v>
      </c>
      <c r="AO84">
        <v>1941577756</v>
      </c>
    </row>
    <row r="85" spans="1:41" ht="15.6" x14ac:dyDescent="0.3">
      <c r="A85" t="s">
        <v>100</v>
      </c>
      <c r="C85" s="2"/>
      <c r="D85" s="2"/>
      <c r="E85" s="2"/>
      <c r="F85" s="2"/>
    </row>
    <row r="86" spans="1:41" ht="15.6" x14ac:dyDescent="0.3">
      <c r="A86" t="s">
        <v>101</v>
      </c>
      <c r="B86" s="2">
        <v>64142566183</v>
      </c>
      <c r="C86" s="2">
        <v>65539559431</v>
      </c>
      <c r="D86" s="2">
        <v>61246222154.370491</v>
      </c>
      <c r="E86" s="2">
        <v>60416005365.048531</v>
      </c>
      <c r="F86" s="2">
        <v>59143050944.661118</v>
      </c>
      <c r="G86">
        <v>58543863921.331879</v>
      </c>
      <c r="H86">
        <v>58918590943.128769</v>
      </c>
      <c r="I86">
        <v>60091948402.843605</v>
      </c>
      <c r="J86">
        <v>65115611309.392853</v>
      </c>
      <c r="K86">
        <v>65983967029.317261</v>
      </c>
      <c r="L86">
        <v>23373023981</v>
      </c>
      <c r="M86">
        <v>21786486325</v>
      </c>
      <c r="N86">
        <v>18342219417</v>
      </c>
      <c r="O86">
        <v>61410035978.654778</v>
      </c>
      <c r="P86">
        <v>13987179321</v>
      </c>
      <c r="Q86">
        <v>12993933754</v>
      </c>
      <c r="R86">
        <v>10938036921</v>
      </c>
      <c r="S86">
        <v>9651817988</v>
      </c>
      <c r="T86">
        <v>5333394807</v>
      </c>
      <c r="U86">
        <v>4990160744</v>
      </c>
      <c r="V86">
        <v>4624655084</v>
      </c>
      <c r="W86">
        <v>4219185456</v>
      </c>
      <c r="X86">
        <v>4316052373</v>
      </c>
      <c r="Y86">
        <v>3909522853</v>
      </c>
      <c r="Z86">
        <v>3611894296</v>
      </c>
      <c r="AA86">
        <v>3490445114</v>
      </c>
      <c r="AB86">
        <v>1971148355</v>
      </c>
      <c r="AC86">
        <v>1962301014</v>
      </c>
      <c r="AD86">
        <v>1848433588</v>
      </c>
      <c r="AE86">
        <v>1636101019</v>
      </c>
      <c r="AF86">
        <v>1931124105</v>
      </c>
      <c r="AG86">
        <v>1744818063</v>
      </c>
      <c r="AH86">
        <v>1670600090</v>
      </c>
      <c r="AI86">
        <v>1603460317</v>
      </c>
      <c r="AJ86">
        <v>365403191</v>
      </c>
      <c r="AK86">
        <v>268729265</v>
      </c>
      <c r="AL86">
        <v>287863680</v>
      </c>
      <c r="AM86">
        <v>389736653</v>
      </c>
      <c r="AN86">
        <v>657521964</v>
      </c>
      <c r="AO86">
        <v>720809056</v>
      </c>
    </row>
    <row r="87" spans="1:41" ht="15.6" x14ac:dyDescent="0.3">
      <c r="A87" t="s">
        <v>102</v>
      </c>
      <c r="B87" s="2">
        <v>1226338236</v>
      </c>
      <c r="C87" s="2">
        <v>1226338236</v>
      </c>
      <c r="D87" s="2">
        <v>1226338236</v>
      </c>
      <c r="E87" s="2">
        <v>1226338236</v>
      </c>
      <c r="F87" s="2">
        <v>1226338236</v>
      </c>
      <c r="G87">
        <v>1226338236</v>
      </c>
      <c r="H87">
        <v>1226338236</v>
      </c>
      <c r="I87">
        <v>1226338236</v>
      </c>
      <c r="J87">
        <v>1226338236</v>
      </c>
      <c r="K87">
        <v>1226338236</v>
      </c>
      <c r="L87">
        <v>1226338236</v>
      </c>
      <c r="M87">
        <v>1226338236</v>
      </c>
      <c r="N87">
        <v>1226338236</v>
      </c>
      <c r="O87">
        <v>1226338236</v>
      </c>
      <c r="P87">
        <v>1226338236</v>
      </c>
      <c r="Q87">
        <v>1226338236</v>
      </c>
      <c r="R87">
        <v>1226338236</v>
      </c>
      <c r="S87">
        <v>1226338236</v>
      </c>
      <c r="T87">
        <v>613169118</v>
      </c>
      <c r="U87">
        <v>613169118</v>
      </c>
      <c r="V87">
        <v>613169118</v>
      </c>
      <c r="W87">
        <v>613169118</v>
      </c>
      <c r="X87">
        <v>613169118</v>
      </c>
      <c r="Y87">
        <v>613169118</v>
      </c>
      <c r="Z87">
        <v>613169118</v>
      </c>
      <c r="AA87">
        <v>613169118</v>
      </c>
      <c r="AB87">
        <v>613169118</v>
      </c>
      <c r="AC87">
        <v>613169118</v>
      </c>
      <c r="AD87">
        <v>613169118</v>
      </c>
      <c r="AE87">
        <v>613169118</v>
      </c>
      <c r="AF87">
        <v>613169118</v>
      </c>
      <c r="AG87">
        <v>613169118</v>
      </c>
      <c r="AH87">
        <v>613169118</v>
      </c>
      <c r="AI87">
        <v>613169118</v>
      </c>
      <c r="AJ87">
        <v>613169118</v>
      </c>
      <c r="AK87">
        <v>613169118</v>
      </c>
      <c r="AL87">
        <v>613169118</v>
      </c>
      <c r="AM87">
        <v>613169118</v>
      </c>
      <c r="AN87">
        <v>613169118</v>
      </c>
      <c r="AO87">
        <v>613169118</v>
      </c>
    </row>
    <row r="88" spans="1:41" ht="15.6" x14ac:dyDescent="0.3">
      <c r="A88" t="s">
        <v>103</v>
      </c>
      <c r="B88" s="2">
        <v>19266411472</v>
      </c>
      <c r="C88" s="2">
        <v>19266411472</v>
      </c>
      <c r="D88" s="2">
        <v>19267253841.067471</v>
      </c>
      <c r="E88" s="2">
        <v>19266496121.270569</v>
      </c>
      <c r="F88" s="2">
        <v>19266671365.095173</v>
      </c>
      <c r="G88">
        <v>19266821956.731625</v>
      </c>
      <c r="H88">
        <v>19266960742.497055</v>
      </c>
      <c r="I88">
        <v>19266258166.521091</v>
      </c>
      <c r="J88">
        <v>19266366774.528431</v>
      </c>
      <c r="K88">
        <v>19267186496.955822</v>
      </c>
      <c r="O88">
        <v>19267012110.847279</v>
      </c>
    </row>
    <row r="89" spans="1:41" ht="15.6" x14ac:dyDescent="0.3">
      <c r="A89" t="s">
        <v>104</v>
      </c>
      <c r="C89" s="2"/>
      <c r="D89" s="2"/>
      <c r="E89" s="2"/>
      <c r="F89" s="2"/>
    </row>
    <row r="90" spans="1:41" ht="15.6" x14ac:dyDescent="0.3">
      <c r="A90" t="s">
        <v>105</v>
      </c>
      <c r="C90" s="2"/>
      <c r="D90" s="2"/>
      <c r="E90" s="2"/>
      <c r="F90" s="2"/>
    </row>
    <row r="91" spans="1:41" ht="15.6" x14ac:dyDescent="0.3">
      <c r="A91" t="s">
        <v>106</v>
      </c>
      <c r="C91" s="2"/>
      <c r="D91" s="2"/>
      <c r="E91" s="2"/>
      <c r="F91" s="2"/>
    </row>
    <row r="92" spans="1:41" ht="15.6" x14ac:dyDescent="0.3">
      <c r="A92" t="s">
        <v>107</v>
      </c>
      <c r="B92" s="2">
        <v>-89282567</v>
      </c>
      <c r="C92" s="2">
        <v>-89282567</v>
      </c>
      <c r="D92" s="2">
        <v>-89286237.610384822</v>
      </c>
      <c r="E92" s="2">
        <v>-89282936.109368265</v>
      </c>
      <c r="F92" s="2">
        <v>-89283699.130006865</v>
      </c>
      <c r="G92">
        <v>-89284355.579699874</v>
      </c>
      <c r="H92">
        <v>-89284960.765953064</v>
      </c>
      <c r="I92">
        <v>-89281899.400333732</v>
      </c>
      <c r="J92">
        <v>-89282373.609697729</v>
      </c>
      <c r="K92">
        <v>-89285944.065448582</v>
      </c>
    </row>
    <row r="93" spans="1:41" ht="15.6" x14ac:dyDescent="0.3">
      <c r="A93" t="s">
        <v>108</v>
      </c>
      <c r="C93" s="2"/>
      <c r="D93" s="2"/>
      <c r="E93" s="2"/>
      <c r="F93" s="2"/>
    </row>
    <row r="94" spans="1:41" ht="15.6" x14ac:dyDescent="0.3">
      <c r="A94" t="s">
        <v>109</v>
      </c>
      <c r="C94" s="2"/>
      <c r="D94" s="2"/>
      <c r="E94" s="2"/>
      <c r="F94" s="2"/>
      <c r="L94">
        <v>10726734</v>
      </c>
      <c r="M94">
        <v>10726734</v>
      </c>
      <c r="N94">
        <v>10726734</v>
      </c>
      <c r="P94">
        <v>10726734</v>
      </c>
      <c r="Q94">
        <v>10726734</v>
      </c>
      <c r="R94">
        <v>10726734</v>
      </c>
      <c r="S94">
        <v>10726734</v>
      </c>
      <c r="T94">
        <v>247403635</v>
      </c>
      <c r="U94">
        <v>247403635</v>
      </c>
      <c r="V94">
        <v>247403635</v>
      </c>
      <c r="W94">
        <v>247403635</v>
      </c>
      <c r="X94">
        <v>247403635</v>
      </c>
      <c r="Y94">
        <v>247403635</v>
      </c>
      <c r="Z94">
        <v>247403635</v>
      </c>
      <c r="AA94">
        <v>247403635</v>
      </c>
      <c r="AB94">
        <v>247403635</v>
      </c>
      <c r="AC94">
        <v>247403635</v>
      </c>
      <c r="AD94">
        <v>247403635</v>
      </c>
      <c r="AE94">
        <v>247403635</v>
      </c>
      <c r="AF94">
        <v>247403635</v>
      </c>
      <c r="AG94">
        <v>247403635</v>
      </c>
      <c r="AH94">
        <v>247403635</v>
      </c>
      <c r="AI94">
        <v>247403635</v>
      </c>
      <c r="AJ94">
        <v>247403635</v>
      </c>
      <c r="AK94">
        <v>247403635</v>
      </c>
      <c r="AL94">
        <v>247403635</v>
      </c>
      <c r="AM94">
        <v>247403635</v>
      </c>
      <c r="AN94">
        <v>247403635</v>
      </c>
      <c r="AO94">
        <v>247403635</v>
      </c>
    </row>
    <row r="95" spans="1:41" ht="15.6" x14ac:dyDescent="0.3">
      <c r="A95" t="s">
        <v>110</v>
      </c>
      <c r="C95" s="2"/>
      <c r="D95" s="2"/>
      <c r="E95" s="2"/>
      <c r="F95" s="2"/>
    </row>
    <row r="96" spans="1:41" ht="15.6" x14ac:dyDescent="0.3">
      <c r="A96" t="s">
        <v>111</v>
      </c>
      <c r="C96" s="2"/>
      <c r="D96" s="2"/>
      <c r="E96" s="2"/>
      <c r="F96" s="2"/>
    </row>
    <row r="97" spans="1:41" ht="15.6" x14ac:dyDescent="0.3">
      <c r="A97" t="s">
        <v>112</v>
      </c>
      <c r="B97" s="2">
        <v>10614042474</v>
      </c>
      <c r="C97" s="2">
        <v>10704590446</v>
      </c>
      <c r="D97" s="2">
        <v>6602527997.4873161</v>
      </c>
      <c r="E97" s="2">
        <v>6728805827.902112</v>
      </c>
      <c r="F97" s="2">
        <v>6822989635.1952248</v>
      </c>
      <c r="G97">
        <v>6905976300.6157656</v>
      </c>
      <c r="H97">
        <v>6161601808.2989511</v>
      </c>
      <c r="I97">
        <v>6391235882.2682285</v>
      </c>
      <c r="J97">
        <v>6845295619.9321623</v>
      </c>
      <c r="K97">
        <v>6919737538.2343111</v>
      </c>
      <c r="L97">
        <v>5962705785</v>
      </c>
      <c r="M97">
        <v>6065484239</v>
      </c>
      <c r="N97">
        <v>6089195798</v>
      </c>
      <c r="O97">
        <v>6670662007.8666964</v>
      </c>
      <c r="P97">
        <v>3569510834</v>
      </c>
      <c r="Q97">
        <v>3621196181</v>
      </c>
      <c r="R97">
        <v>3693499433</v>
      </c>
      <c r="S97">
        <v>3740067960</v>
      </c>
      <c r="T97">
        <v>2125338081</v>
      </c>
      <c r="U97">
        <v>2146984047</v>
      </c>
      <c r="V97">
        <v>2175146192</v>
      </c>
      <c r="W97">
        <v>2196268403</v>
      </c>
      <c r="X97">
        <v>2214467730</v>
      </c>
      <c r="Y97">
        <v>2230485381</v>
      </c>
      <c r="Z97">
        <v>2250136917</v>
      </c>
      <c r="AA97">
        <v>2263711269</v>
      </c>
      <c r="AB97">
        <v>959366405</v>
      </c>
      <c r="AC97">
        <v>1041495089</v>
      </c>
      <c r="AD97">
        <v>1034734892</v>
      </c>
      <c r="AE97">
        <v>822742540</v>
      </c>
      <c r="AF97">
        <v>826737681</v>
      </c>
      <c r="AG97">
        <v>842563459</v>
      </c>
      <c r="AH97">
        <v>951598728</v>
      </c>
      <c r="AI97">
        <v>912127654</v>
      </c>
      <c r="AJ97">
        <v>-43739726</v>
      </c>
      <c r="AK97">
        <v>1120370</v>
      </c>
      <c r="AL97">
        <v>15985060</v>
      </c>
      <c r="AM97">
        <v>35104372</v>
      </c>
      <c r="AN97">
        <v>1892593</v>
      </c>
      <c r="AO97">
        <v>-669697</v>
      </c>
    </row>
    <row r="98" spans="1:41" ht="15.6" x14ac:dyDescent="0.3">
      <c r="A98" t="s">
        <v>113</v>
      </c>
      <c r="B98" s="2">
        <v>-14042612366</v>
      </c>
      <c r="C98" s="2">
        <v>-12080726878</v>
      </c>
      <c r="D98" s="2">
        <v>-10880374468.938787</v>
      </c>
      <c r="E98" s="2">
        <v>-10609608377.001165</v>
      </c>
      <c r="F98" s="2">
        <v>-10736149403.355549</v>
      </c>
      <c r="G98">
        <v>-10813833434.855501</v>
      </c>
      <c r="H98">
        <v>-10193136950.744738</v>
      </c>
      <c r="I98">
        <v>-8006193856.9892683</v>
      </c>
      <c r="J98">
        <v>-4445099543.6073055</v>
      </c>
      <c r="K98">
        <v>-2267163918.2436385</v>
      </c>
      <c r="L98">
        <v>6743405470</v>
      </c>
      <c r="M98">
        <v>6243671054</v>
      </c>
      <c r="N98">
        <v>3133418413</v>
      </c>
      <c r="O98">
        <v>2196313941.1200614</v>
      </c>
      <c r="P98">
        <v>3101994273</v>
      </c>
      <c r="Q98">
        <v>2863031540</v>
      </c>
      <c r="R98">
        <v>2089847110</v>
      </c>
      <c r="S98">
        <v>1979389432</v>
      </c>
      <c r="T98">
        <v>794914236</v>
      </c>
      <c r="U98">
        <v>777017028</v>
      </c>
      <c r="V98">
        <v>691851995</v>
      </c>
      <c r="W98">
        <v>493973142</v>
      </c>
      <c r="X98">
        <v>704764661</v>
      </c>
      <c r="Y98">
        <v>431391116</v>
      </c>
      <c r="Z98">
        <v>281678665</v>
      </c>
      <c r="AA98">
        <v>234620434</v>
      </c>
      <c r="AB98">
        <v>-14514988</v>
      </c>
      <c r="AC98">
        <v>-5433183</v>
      </c>
      <c r="AD98">
        <v>-8369574</v>
      </c>
      <c r="AE98">
        <v>42207539</v>
      </c>
      <c r="AF98">
        <v>346820246</v>
      </c>
      <c r="AG98">
        <v>160155983</v>
      </c>
      <c r="AH98">
        <v>3322529</v>
      </c>
      <c r="AI98">
        <v>2060997</v>
      </c>
      <c r="AJ98">
        <v>1064085</v>
      </c>
      <c r="AK98">
        <v>23472099</v>
      </c>
      <c r="AL98">
        <v>1459500</v>
      </c>
      <c r="AM98">
        <v>1071273</v>
      </c>
      <c r="AN98">
        <v>18449692</v>
      </c>
      <c r="AO98">
        <v>10212490</v>
      </c>
    </row>
    <row r="99" spans="1:41" ht="15.6" x14ac:dyDescent="0.3">
      <c r="A99" t="s">
        <v>114</v>
      </c>
      <c r="B99" s="2">
        <v>3990642548</v>
      </c>
      <c r="C99" s="2">
        <v>3990642548</v>
      </c>
      <c r="D99" s="2">
        <v>3993363188.1508961</v>
      </c>
      <c r="E99" s="2">
        <v>3993363053.349052</v>
      </c>
      <c r="F99" s="2">
        <v>3993363087.2742729</v>
      </c>
      <c r="G99">
        <v>3990722483.7559557</v>
      </c>
      <c r="H99">
        <v>3990794650.5382476</v>
      </c>
      <c r="I99">
        <v>3990794515.28617</v>
      </c>
      <c r="J99">
        <v>2938859665.3209724</v>
      </c>
      <c r="K99">
        <v>2712034716.7270274</v>
      </c>
      <c r="L99">
        <v>557786230</v>
      </c>
      <c r="M99">
        <v>557786229</v>
      </c>
      <c r="N99">
        <v>477549777</v>
      </c>
      <c r="O99">
        <v>2087885398.7226927</v>
      </c>
      <c r="P99">
        <v>332248397</v>
      </c>
      <c r="Q99">
        <v>151366568</v>
      </c>
      <c r="R99">
        <v>156307615</v>
      </c>
      <c r="S99">
        <v>82931556</v>
      </c>
      <c r="T99">
        <v>82931556</v>
      </c>
      <c r="U99">
        <v>82931556</v>
      </c>
      <c r="V99">
        <v>83282555</v>
      </c>
      <c r="W99">
        <v>68742954</v>
      </c>
      <c r="X99">
        <v>68742954</v>
      </c>
      <c r="Y99">
        <v>68742954</v>
      </c>
      <c r="Z99">
        <v>68742954</v>
      </c>
      <c r="AA99">
        <v>64980588</v>
      </c>
      <c r="AB99">
        <v>64980588</v>
      </c>
      <c r="AC99">
        <v>64980588</v>
      </c>
      <c r="AD99">
        <v>64980588</v>
      </c>
      <c r="AE99">
        <v>48267560</v>
      </c>
      <c r="AF99">
        <v>48267560</v>
      </c>
      <c r="AG99">
        <v>48267560</v>
      </c>
      <c r="AH99">
        <v>48267560</v>
      </c>
      <c r="AI99">
        <v>48267560</v>
      </c>
      <c r="AJ99">
        <v>48267560</v>
      </c>
      <c r="AK99">
        <v>48267560</v>
      </c>
      <c r="AL99">
        <v>46070512</v>
      </c>
      <c r="AM99">
        <v>44342753</v>
      </c>
      <c r="AN99">
        <v>44342753</v>
      </c>
      <c r="AO99">
        <v>42114653</v>
      </c>
    </row>
    <row r="100" spans="1:41" ht="15.6" x14ac:dyDescent="0.3">
      <c r="A100" t="s">
        <v>115</v>
      </c>
      <c r="C100" s="2"/>
      <c r="D100" s="2"/>
      <c r="E100" s="2"/>
      <c r="F100" s="2"/>
    </row>
    <row r="101" spans="1:41" ht="15.6" x14ac:dyDescent="0.3">
      <c r="A101" t="s">
        <v>116</v>
      </c>
      <c r="C101" s="2"/>
      <c r="D101" s="2"/>
      <c r="E101" s="2"/>
      <c r="F101" s="2"/>
    </row>
    <row r="102" spans="1:41" ht="15.6" x14ac:dyDescent="0.3">
      <c r="A102" t="s">
        <v>117</v>
      </c>
      <c r="C102" s="2"/>
      <c r="D102" s="2"/>
      <c r="E102" s="2"/>
      <c r="F102" s="2"/>
    </row>
    <row r="103" spans="1:41" ht="15.6" x14ac:dyDescent="0.3">
      <c r="A103" t="s">
        <v>118</v>
      </c>
      <c r="B103" s="2">
        <v>42612134146</v>
      </c>
      <c r="C103" s="2">
        <v>38502519998</v>
      </c>
      <c r="D103" s="2">
        <v>38358962011.944756</v>
      </c>
      <c r="E103" s="2">
        <v>38230874286.301071</v>
      </c>
      <c r="F103" s="2">
        <v>38137109066.195885</v>
      </c>
      <c r="G103">
        <v>35165968728.33699</v>
      </c>
      <c r="H103">
        <v>35028846519.272888</v>
      </c>
      <c r="I103">
        <v>34797780027.359978</v>
      </c>
      <c r="J103">
        <v>38060672542.483009</v>
      </c>
      <c r="K103">
        <v>26784444950.650261</v>
      </c>
      <c r="L103">
        <v>5285677248</v>
      </c>
      <c r="M103">
        <v>5298754478</v>
      </c>
      <c r="N103">
        <v>6350666260</v>
      </c>
      <c r="O103">
        <v>18354479856.511913</v>
      </c>
      <c r="P103">
        <v>1833604355</v>
      </c>
      <c r="Q103">
        <v>2662800837</v>
      </c>
      <c r="R103">
        <v>2585556538</v>
      </c>
      <c r="S103">
        <v>932614285</v>
      </c>
      <c r="T103">
        <v>656369924</v>
      </c>
      <c r="U103">
        <v>634723958</v>
      </c>
      <c r="V103">
        <v>606210814</v>
      </c>
      <c r="W103">
        <v>129592233</v>
      </c>
      <c r="X103">
        <v>112041243</v>
      </c>
      <c r="Y103">
        <v>96023592</v>
      </c>
      <c r="Z103">
        <v>76372056</v>
      </c>
      <c r="AA103">
        <v>-262622830</v>
      </c>
      <c r="AB103">
        <v>-73716406</v>
      </c>
      <c r="AC103">
        <v>-106898463</v>
      </c>
      <c r="AD103">
        <v>-154402401</v>
      </c>
      <c r="AE103">
        <v>-163783444</v>
      </c>
      <c r="AF103">
        <v>-166888473</v>
      </c>
      <c r="AG103">
        <v>-183490155</v>
      </c>
      <c r="AH103">
        <v>-205993721</v>
      </c>
      <c r="AI103">
        <v>-576879411</v>
      </c>
      <c r="AJ103">
        <v>-576875532</v>
      </c>
      <c r="AK103">
        <v>-458975646</v>
      </c>
      <c r="AL103">
        <v>-435162408</v>
      </c>
      <c r="AM103">
        <v>-70191788</v>
      </c>
      <c r="AN103">
        <v>-65769713</v>
      </c>
      <c r="AO103">
        <v>-63741613</v>
      </c>
    </row>
    <row r="104" spans="1:41" ht="15.6" x14ac:dyDescent="0.3">
      <c r="A104" t="s">
        <v>119</v>
      </c>
      <c r="B104" s="2">
        <v>564892240</v>
      </c>
      <c r="C104" s="2">
        <v>4019066176</v>
      </c>
      <c r="D104" s="2">
        <v>2767437586.2692308</v>
      </c>
      <c r="E104" s="2">
        <v>1669019153.3362556</v>
      </c>
      <c r="F104" s="2">
        <v>522012657.38611495</v>
      </c>
      <c r="G104">
        <v>2891154006.3267393</v>
      </c>
      <c r="H104">
        <v>3526470898.0323105</v>
      </c>
      <c r="I104">
        <v>2515017331.7977486</v>
      </c>
      <c r="J104">
        <v>1312460388.3452725</v>
      </c>
      <c r="K104">
        <v>11430674953.05892</v>
      </c>
      <c r="L104">
        <v>3586384278</v>
      </c>
      <c r="M104">
        <v>2383725355</v>
      </c>
      <c r="N104">
        <v>1054324199</v>
      </c>
      <c r="O104">
        <v>11607344427.586145</v>
      </c>
      <c r="P104">
        <v>3912756492</v>
      </c>
      <c r="Q104">
        <v>2458473658</v>
      </c>
      <c r="R104">
        <v>1175761255</v>
      </c>
      <c r="S104">
        <v>1679749785</v>
      </c>
      <c r="T104">
        <v>813268257</v>
      </c>
      <c r="U104">
        <v>487931402</v>
      </c>
      <c r="V104">
        <v>207590775</v>
      </c>
      <c r="W104">
        <v>470035971</v>
      </c>
      <c r="X104">
        <v>355463032</v>
      </c>
      <c r="Y104">
        <v>222307057</v>
      </c>
      <c r="Z104">
        <v>74390951</v>
      </c>
      <c r="AA104">
        <v>329182900</v>
      </c>
      <c r="AB104">
        <v>174460003</v>
      </c>
      <c r="AC104">
        <v>107584230</v>
      </c>
      <c r="AD104">
        <v>50917330</v>
      </c>
      <c r="AE104">
        <v>26094071</v>
      </c>
      <c r="AF104">
        <v>15614338</v>
      </c>
      <c r="AG104">
        <v>16748463</v>
      </c>
      <c r="AH104">
        <v>12832241</v>
      </c>
      <c r="AI104">
        <v>357310764</v>
      </c>
      <c r="AJ104">
        <v>76114051</v>
      </c>
      <c r="AK104">
        <v>-87808022</v>
      </c>
      <c r="AL104">
        <v>-83141888</v>
      </c>
      <c r="AM104">
        <v>-363242861</v>
      </c>
      <c r="AN104">
        <v>-84046265</v>
      </c>
      <c r="AO104">
        <v>-9759681</v>
      </c>
    </row>
    <row r="105" spans="1:41" ht="15.6" x14ac:dyDescent="0.3">
      <c r="A105" t="s">
        <v>120</v>
      </c>
      <c r="B105" s="2">
        <v>5885726023</v>
      </c>
      <c r="C105" s="2">
        <v>6130430130</v>
      </c>
      <c r="D105" s="2">
        <v>5745578589.5284176</v>
      </c>
      <c r="E105" s="2">
        <v>5708792920.905941</v>
      </c>
      <c r="F105" s="2">
        <v>5475554463.7577066</v>
      </c>
      <c r="G105">
        <v>5596626544.2581482</v>
      </c>
      <c r="H105">
        <v>5475945944.5233078</v>
      </c>
      <c r="I105">
        <v>5637428364.4711704</v>
      </c>
      <c r="J105">
        <v>5971370335.8873196</v>
      </c>
      <c r="K105">
        <v>6044428643.5618696</v>
      </c>
      <c r="L105">
        <v>2667122500</v>
      </c>
      <c r="M105">
        <v>2444165149</v>
      </c>
      <c r="N105">
        <v>1779584070</v>
      </c>
      <c r="O105">
        <v>5998089799.7797117</v>
      </c>
      <c r="P105">
        <v>1414327906</v>
      </c>
      <c r="Q105">
        <v>1294531630</v>
      </c>
      <c r="R105">
        <v>1037134656</v>
      </c>
      <c r="S105">
        <v>932390226</v>
      </c>
      <c r="T105">
        <v>613293946</v>
      </c>
      <c r="U105">
        <v>555022755</v>
      </c>
      <c r="V105">
        <v>495344631</v>
      </c>
      <c r="W105">
        <v>406158727</v>
      </c>
      <c r="X105">
        <v>458552772</v>
      </c>
      <c r="Y105">
        <v>381279635</v>
      </c>
      <c r="Z105">
        <v>361330760</v>
      </c>
      <c r="AA105">
        <v>328515851</v>
      </c>
      <c r="AB105">
        <v>356974856</v>
      </c>
      <c r="AC105">
        <v>302896222</v>
      </c>
      <c r="AD105">
        <v>238973338</v>
      </c>
      <c r="AE105">
        <v>181851117</v>
      </c>
      <c r="AF105">
        <v>171845268</v>
      </c>
      <c r="AG105">
        <v>124399597</v>
      </c>
      <c r="AH105">
        <v>91924326</v>
      </c>
      <c r="AI105">
        <v>57466771</v>
      </c>
      <c r="AJ105">
        <v>39566192</v>
      </c>
      <c r="AK105">
        <v>6320308</v>
      </c>
      <c r="AL105">
        <v>-2914950</v>
      </c>
      <c r="AM105">
        <v>-2337947</v>
      </c>
      <c r="AN105">
        <v>-2437326</v>
      </c>
      <c r="AO105">
        <v>-4926321</v>
      </c>
    </row>
    <row r="106" spans="1:41" ht="15.6" x14ac:dyDescent="0.3">
      <c r="A106" t="s">
        <v>121</v>
      </c>
      <c r="B106" s="2">
        <v>70028292206</v>
      </c>
      <c r="C106" s="2">
        <v>71669989561</v>
      </c>
      <c r="D106" s="2">
        <v>66991800743.898918</v>
      </c>
      <c r="E106" s="2">
        <v>66124798285.954468</v>
      </c>
      <c r="F106" s="2">
        <v>64618605408.418831</v>
      </c>
      <c r="G106">
        <v>64140490465.590027</v>
      </c>
      <c r="H106">
        <v>64394536887.652077</v>
      </c>
      <c r="I106">
        <v>65729376767.314796</v>
      </c>
      <c r="J106">
        <v>71086981645.280167</v>
      </c>
      <c r="K106">
        <v>72028395672.879135</v>
      </c>
      <c r="L106">
        <v>26040146481</v>
      </c>
      <c r="M106">
        <v>24230651474</v>
      </c>
      <c r="N106">
        <v>20121803487</v>
      </c>
      <c r="O106">
        <v>67408125778.434502</v>
      </c>
      <c r="P106">
        <v>15401507227</v>
      </c>
      <c r="Q106">
        <v>14288465384</v>
      </c>
      <c r="R106">
        <v>11975171577</v>
      </c>
      <c r="S106">
        <v>10584208214</v>
      </c>
      <c r="T106">
        <v>5946688753</v>
      </c>
      <c r="U106">
        <v>5545183499</v>
      </c>
      <c r="V106">
        <v>5119999715</v>
      </c>
      <c r="W106">
        <v>4625344183</v>
      </c>
      <c r="X106">
        <v>4774605145</v>
      </c>
      <c r="Y106">
        <v>4290802488</v>
      </c>
      <c r="Z106">
        <v>3973225056</v>
      </c>
      <c r="AA106">
        <v>3818960965</v>
      </c>
      <c r="AB106">
        <v>2328123211</v>
      </c>
      <c r="AC106">
        <v>2265197236</v>
      </c>
      <c r="AD106">
        <v>2087406926</v>
      </c>
      <c r="AE106">
        <v>1817952136</v>
      </c>
      <c r="AF106">
        <v>2102969373</v>
      </c>
      <c r="AG106">
        <v>1869217660</v>
      </c>
      <c r="AH106">
        <v>1762524416</v>
      </c>
      <c r="AI106">
        <v>1660927088</v>
      </c>
      <c r="AJ106">
        <v>404969383</v>
      </c>
      <c r="AK106">
        <v>275049573</v>
      </c>
      <c r="AL106">
        <v>284948730</v>
      </c>
      <c r="AM106">
        <v>387398706</v>
      </c>
      <c r="AN106">
        <v>655084638</v>
      </c>
      <c r="AO106">
        <v>715882735</v>
      </c>
    </row>
    <row r="107" spans="1:41" ht="15.6" x14ac:dyDescent="0.3">
      <c r="A107" t="s">
        <v>122</v>
      </c>
      <c r="B107" s="2">
        <v>138902758229</v>
      </c>
      <c r="C107" s="2">
        <v>142601337587</v>
      </c>
      <c r="D107" s="2">
        <v>133475905910.82314</v>
      </c>
      <c r="E107" s="2">
        <v>133337205768.47264</v>
      </c>
      <c r="F107" s="2">
        <v>122126525582.07347</v>
      </c>
      <c r="G107">
        <v>119222268608.52611</v>
      </c>
      <c r="H107">
        <v>116555204477.74643</v>
      </c>
      <c r="I107">
        <v>114284378640.3129</v>
      </c>
      <c r="J107">
        <v>122319821496.25621</v>
      </c>
      <c r="K107">
        <v>116054930601.8024</v>
      </c>
      <c r="L107">
        <v>44265021129</v>
      </c>
      <c r="M107">
        <v>41231500836</v>
      </c>
      <c r="N107">
        <v>33742493557</v>
      </c>
      <c r="O107">
        <v>114800829691.73773</v>
      </c>
      <c r="P107">
        <v>28873206519</v>
      </c>
      <c r="Q107">
        <v>26142274243</v>
      </c>
      <c r="R107">
        <v>22632097114</v>
      </c>
      <c r="S107">
        <v>20649538050</v>
      </c>
      <c r="T107">
        <v>12920859261</v>
      </c>
      <c r="U107">
        <v>12009430276</v>
      </c>
      <c r="V107">
        <v>9818195944</v>
      </c>
      <c r="W107">
        <v>9502694305</v>
      </c>
      <c r="X107">
        <v>9611756261</v>
      </c>
      <c r="Y107">
        <v>9372674554</v>
      </c>
      <c r="Z107">
        <v>8927987104</v>
      </c>
      <c r="AA107">
        <v>8501122048</v>
      </c>
      <c r="AB107">
        <v>6912920975</v>
      </c>
      <c r="AC107">
        <v>6933501976</v>
      </c>
      <c r="AD107">
        <v>6868434588</v>
      </c>
      <c r="AE107">
        <v>6438141992</v>
      </c>
      <c r="AF107">
        <v>7008723880</v>
      </c>
      <c r="AG107">
        <v>5719121658</v>
      </c>
      <c r="AH107">
        <v>5399742803</v>
      </c>
      <c r="AI107">
        <v>5202170669</v>
      </c>
      <c r="AJ107">
        <v>4074658274</v>
      </c>
      <c r="AK107">
        <v>4333705542</v>
      </c>
      <c r="AL107">
        <v>4112979908</v>
      </c>
      <c r="AM107">
        <v>4152553954</v>
      </c>
      <c r="AN107">
        <v>4216689928</v>
      </c>
      <c r="AO107">
        <v>4005432825</v>
      </c>
    </row>
    <row r="108" spans="1:41" ht="15.6" x14ac:dyDescent="0.3">
      <c r="A108" t="s">
        <v>123</v>
      </c>
      <c r="B108" s="2">
        <v>2601014803</v>
      </c>
      <c r="C108" s="2"/>
      <c r="D108" s="2">
        <v>5590360205.5527344</v>
      </c>
      <c r="E108" s="2">
        <v>6836117897.7329454</v>
      </c>
      <c r="F108" s="2">
        <v>8416748102.0304327</v>
      </c>
      <c r="G108">
        <v>5061492508.0948353</v>
      </c>
      <c r="H108">
        <v>6786888939.2652559</v>
      </c>
      <c r="J108">
        <v>5765286009.1065283</v>
      </c>
      <c r="K108">
        <v>7043508561.9850779</v>
      </c>
      <c r="L108">
        <v>3969626536</v>
      </c>
      <c r="M108">
        <v>3666231876</v>
      </c>
      <c r="N108">
        <v>3051533868</v>
      </c>
      <c r="O108">
        <v>7065817219.5304337</v>
      </c>
      <c r="P108">
        <v>2700708077</v>
      </c>
      <c r="Q108">
        <v>2933071572</v>
      </c>
      <c r="R108">
        <v>1887294344</v>
      </c>
      <c r="S108">
        <v>2115361558</v>
      </c>
      <c r="T108">
        <v>304366501</v>
      </c>
      <c r="U108">
        <v>340847634</v>
      </c>
      <c r="V108">
        <v>182661268</v>
      </c>
      <c r="X108">
        <v>14034283</v>
      </c>
      <c r="Y108">
        <v>-389328973</v>
      </c>
      <c r="Z108">
        <v>-682205616</v>
      </c>
      <c r="AB108">
        <v>-1386320491</v>
      </c>
      <c r="AC108">
        <v>-1510947372</v>
      </c>
      <c r="AD108">
        <v>-855840028</v>
      </c>
      <c r="AF108">
        <v>-1767476358</v>
      </c>
      <c r="AG108">
        <v>-1119151581</v>
      </c>
      <c r="AH108">
        <v>-1226430382</v>
      </c>
      <c r="AJ108">
        <v>-1214337561</v>
      </c>
      <c r="AK108">
        <v>-1597711346</v>
      </c>
      <c r="AL108">
        <v>-1547446349</v>
      </c>
      <c r="AN108">
        <v>-1576892412</v>
      </c>
      <c r="AO108">
        <v>-1695968318</v>
      </c>
    </row>
    <row r="110" spans="1:41" x14ac:dyDescent="0.3">
      <c r="B110" s="2">
        <f>B50+B68-B3</f>
        <v>52919523566</v>
      </c>
    </row>
  </sheetData>
  <pageMargins left="0.7" right="0.7" top="0.75" bottom="0.75" header="0.3" footer="0.3"/>
  <ignoredErrors>
    <ignoredError sqref="A1:AO1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0"/>
  <sheetViews>
    <sheetView workbookViewId="0">
      <selection activeCell="B7" sqref="B7"/>
    </sheetView>
  </sheetViews>
  <sheetFormatPr defaultRowHeight="14.4" outlineLevelCol="2" x14ac:dyDescent="0.3"/>
  <cols>
    <col min="1" max="1" width="40" customWidth="1" outlineLevel="2"/>
    <col min="2" max="42" width="20" customWidth="1"/>
  </cols>
  <sheetData>
    <row r="1" spans="1:4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124</v>
      </c>
    </row>
    <row r="2" spans="1:42" ht="15.6" x14ac:dyDescent="0.3">
      <c r="A2" t="s">
        <v>125</v>
      </c>
    </row>
    <row r="3" spans="1:42" ht="15.6" x14ac:dyDescent="0.3">
      <c r="A3" t="s">
        <v>126</v>
      </c>
      <c r="B3">
        <v>9953957768</v>
      </c>
      <c r="C3">
        <v>46641734171.228058</v>
      </c>
      <c r="D3">
        <v>35723498088.208008</v>
      </c>
      <c r="E3">
        <v>24777244212.120548</v>
      </c>
      <c r="F3">
        <v>12602306074</v>
      </c>
      <c r="G3">
        <v>45570734007.924622</v>
      </c>
      <c r="H3">
        <v>33112466329.313858</v>
      </c>
      <c r="I3">
        <v>20562056804.229668</v>
      </c>
      <c r="J3">
        <v>10593475326.942041</v>
      </c>
      <c r="K3">
        <v>73144344889.976791</v>
      </c>
      <c r="L3">
        <v>59051737457.886101</v>
      </c>
      <c r="M3">
        <v>41609886569.998718</v>
      </c>
      <c r="N3">
        <v>25898319102.412766</v>
      </c>
      <c r="O3">
        <v>181135387690.04089</v>
      </c>
      <c r="P3">
        <v>33729690967</v>
      </c>
      <c r="Q3">
        <v>18568216309</v>
      </c>
      <c r="R3">
        <v>5892108791</v>
      </c>
      <c r="S3">
        <v>13887496594</v>
      </c>
      <c r="T3">
        <v>8322920419</v>
      </c>
      <c r="U3">
        <v>4764330235</v>
      </c>
      <c r="V3">
        <v>2144181219</v>
      </c>
      <c r="W3">
        <v>7230546535</v>
      </c>
      <c r="X3">
        <v>5267896719</v>
      </c>
      <c r="Y3">
        <v>3466912240</v>
      </c>
      <c r="Z3">
        <v>1846833556</v>
      </c>
      <c r="AA3">
        <v>5578594781</v>
      </c>
      <c r="AB3">
        <v>3799886130</v>
      </c>
      <c r="AC3">
        <v>2312965207</v>
      </c>
      <c r="AD3">
        <v>1155422198</v>
      </c>
      <c r="AE3">
        <v>4669249102</v>
      </c>
      <c r="AF3">
        <v>3486504457</v>
      </c>
      <c r="AG3">
        <v>2058289466</v>
      </c>
      <c r="AH3">
        <v>1022120075</v>
      </c>
      <c r="AI3">
        <v>3599311868</v>
      </c>
      <c r="AJ3">
        <v>2565379499</v>
      </c>
      <c r="AK3">
        <v>1612997324</v>
      </c>
      <c r="AL3">
        <v>738396634</v>
      </c>
      <c r="AM3">
        <v>3178201840</v>
      </c>
      <c r="AN3">
        <v>2212136415</v>
      </c>
      <c r="AO3">
        <v>1302144407</v>
      </c>
      <c r="AP3">
        <v>726008987</v>
      </c>
    </row>
    <row r="4" spans="1:42" ht="15.6" x14ac:dyDescent="0.3">
      <c r="A4" t="s">
        <v>127</v>
      </c>
    </row>
    <row r="5" spans="1:42" ht="15.6" x14ac:dyDescent="0.3">
      <c r="A5" t="s">
        <v>128</v>
      </c>
      <c r="B5">
        <v>5057871846</v>
      </c>
      <c r="D5">
        <v>25105767597.033398</v>
      </c>
      <c r="E5">
        <v>17718120964.512318</v>
      </c>
      <c r="F5">
        <v>9188730145</v>
      </c>
      <c r="G5">
        <v>31005577169.466496</v>
      </c>
      <c r="H5">
        <v>23644572060.06049</v>
      </c>
      <c r="I5">
        <v>13834329303.681511</v>
      </c>
      <c r="J5">
        <v>6689407690.7431087</v>
      </c>
      <c r="K5">
        <v>56736797886.658447</v>
      </c>
      <c r="L5">
        <v>46589788167.12809</v>
      </c>
      <c r="M5">
        <v>33408288611.2141</v>
      </c>
      <c r="N5">
        <v>20139153065.615105</v>
      </c>
      <c r="O5">
        <v>163421360670.44241</v>
      </c>
      <c r="P5">
        <v>30421862606</v>
      </c>
      <c r="Q5">
        <v>16576357198</v>
      </c>
      <c r="R5">
        <v>5023098055</v>
      </c>
      <c r="S5">
        <v>12114103979</v>
      </c>
      <c r="T5">
        <v>7132382295</v>
      </c>
    </row>
    <row r="6" spans="1:42" ht="15.6" x14ac:dyDescent="0.3">
      <c r="A6" t="s">
        <v>129</v>
      </c>
      <c r="B6">
        <v>4896085922</v>
      </c>
      <c r="D6">
        <v>10617730491.174612</v>
      </c>
      <c r="E6">
        <v>7059123247.6082325</v>
      </c>
      <c r="F6">
        <v>3413575929</v>
      </c>
      <c r="G6">
        <v>12664056748.888639</v>
      </c>
      <c r="H6">
        <v>9467894269.2533646</v>
      </c>
      <c r="I6">
        <v>6727727500.5481567</v>
      </c>
      <c r="J6">
        <v>3303877171.0030618</v>
      </c>
      <c r="K6">
        <v>16407547003.318352</v>
      </c>
      <c r="L6">
        <v>12461949290.758005</v>
      </c>
      <c r="M6">
        <v>8201597958.7846117</v>
      </c>
      <c r="N6">
        <v>3752285221.2356977</v>
      </c>
      <c r="O6">
        <v>17714027019.59848</v>
      </c>
      <c r="P6">
        <v>3307828361</v>
      </c>
      <c r="Q6">
        <v>1991859111</v>
      </c>
      <c r="R6">
        <v>869010736</v>
      </c>
      <c r="S6">
        <v>1773392615</v>
      </c>
      <c r="T6">
        <v>1190538124</v>
      </c>
    </row>
    <row r="7" spans="1:42" ht="15.6" x14ac:dyDescent="0.3">
      <c r="A7" t="s">
        <v>130</v>
      </c>
      <c r="B7">
        <v>-7213017230</v>
      </c>
      <c r="C7">
        <v>-35038080855.558083</v>
      </c>
      <c r="D7">
        <v>-26846922793.602074</v>
      </c>
      <c r="E7">
        <v>-19094033066.877422</v>
      </c>
      <c r="F7">
        <v>-9611373381</v>
      </c>
      <c r="G7">
        <v>-35937471041.065704</v>
      </c>
      <c r="H7">
        <v>-26513385099.182617</v>
      </c>
      <c r="I7">
        <v>-16409218806.987776</v>
      </c>
      <c r="J7">
        <v>-8797045844.3535004</v>
      </c>
      <c r="K7">
        <v>-58139170392.61676</v>
      </c>
      <c r="L7">
        <v>-46464555336.145157</v>
      </c>
      <c r="M7">
        <v>-32926774957.244453</v>
      </c>
      <c r="N7">
        <v>-21047902855.362206</v>
      </c>
      <c r="O7">
        <v>-159110482109.78357</v>
      </c>
      <c r="P7">
        <v>-29275713694</v>
      </c>
      <c r="Q7">
        <v>-15715787472</v>
      </c>
      <c r="R7">
        <v>-4465390180</v>
      </c>
      <c r="S7">
        <v>-11808767055</v>
      </c>
      <c r="T7">
        <v>-6863297266</v>
      </c>
      <c r="U7">
        <v>-3859348047</v>
      </c>
      <c r="V7">
        <v>-1747786565</v>
      </c>
      <c r="W7">
        <v>-6032956098</v>
      </c>
      <c r="X7">
        <v>-4382580784</v>
      </c>
      <c r="Y7">
        <v>-2889139639</v>
      </c>
      <c r="Z7">
        <v>-1548287888</v>
      </c>
      <c r="AA7">
        <v>-4563137567</v>
      </c>
      <c r="AB7">
        <v>-2996237096</v>
      </c>
      <c r="AC7">
        <v>-1749780328</v>
      </c>
      <c r="AD7">
        <v>-892164845</v>
      </c>
      <c r="AE7">
        <v>-3933709353</v>
      </c>
      <c r="AF7">
        <v>-2986815116</v>
      </c>
      <c r="AG7">
        <v>-1771671994</v>
      </c>
      <c r="AH7">
        <v>-883103228</v>
      </c>
      <c r="AI7">
        <v>-3283982668</v>
      </c>
      <c r="AJ7">
        <v>-2353212205</v>
      </c>
      <c r="AK7">
        <v>-1535854144</v>
      </c>
      <c r="AL7">
        <v>-713269776</v>
      </c>
      <c r="AM7">
        <v>-2901198152</v>
      </c>
      <c r="AN7">
        <v>-1988922837</v>
      </c>
      <c r="AO7">
        <v>-1156046194</v>
      </c>
      <c r="AP7">
        <v>-652070866</v>
      </c>
    </row>
    <row r="8" spans="1:42" ht="15.6" x14ac:dyDescent="0.3">
      <c r="A8" t="s">
        <v>131</v>
      </c>
      <c r="B8">
        <v>2740940538</v>
      </c>
      <c r="C8">
        <v>11603653315.669977</v>
      </c>
      <c r="D8">
        <v>8876575294.6059361</v>
      </c>
      <c r="E8">
        <v>5683211145.243125</v>
      </c>
      <c r="F8">
        <v>2990932693</v>
      </c>
      <c r="G8">
        <v>9633262966.8589211</v>
      </c>
      <c r="H8">
        <v>6599081230.1312361</v>
      </c>
      <c r="I8">
        <v>4152837997.2418928</v>
      </c>
      <c r="J8">
        <v>1796429482.5885439</v>
      </c>
      <c r="K8">
        <v>15005174497.360033</v>
      </c>
      <c r="L8">
        <v>12587182121.740936</v>
      </c>
      <c r="M8">
        <v>8683111612.7542572</v>
      </c>
      <c r="N8">
        <v>4850416247.0505629</v>
      </c>
      <c r="O8">
        <v>22024905580.257294</v>
      </c>
      <c r="P8">
        <v>4453977273</v>
      </c>
      <c r="Q8">
        <v>2852428837</v>
      </c>
      <c r="R8">
        <v>1426718611</v>
      </c>
      <c r="S8">
        <v>2078729539</v>
      </c>
      <c r="T8">
        <v>1459623153</v>
      </c>
      <c r="U8">
        <v>904982188</v>
      </c>
      <c r="V8">
        <v>396394654</v>
      </c>
      <c r="W8">
        <v>1197590437</v>
      </c>
      <c r="X8">
        <v>885315935</v>
      </c>
      <c r="Y8">
        <v>577772601</v>
      </c>
      <c r="Z8">
        <v>298545668</v>
      </c>
      <c r="AA8">
        <v>1015457214</v>
      </c>
      <c r="AB8">
        <v>803649034</v>
      </c>
      <c r="AC8">
        <v>563184879</v>
      </c>
      <c r="AD8">
        <v>263257353</v>
      </c>
      <c r="AE8">
        <v>735539749</v>
      </c>
      <c r="AF8">
        <v>499689341</v>
      </c>
      <c r="AG8">
        <v>286617472</v>
      </c>
      <c r="AH8">
        <v>139016847</v>
      </c>
      <c r="AI8">
        <v>315329200</v>
      </c>
      <c r="AJ8">
        <v>212167294</v>
      </c>
      <c r="AK8">
        <v>77143180</v>
      </c>
      <c r="AL8">
        <v>25126858</v>
      </c>
      <c r="AM8">
        <v>277003688</v>
      </c>
      <c r="AN8">
        <v>223213578</v>
      </c>
      <c r="AO8">
        <v>146098213</v>
      </c>
      <c r="AP8">
        <v>73938121</v>
      </c>
    </row>
    <row r="9" spans="1:42" ht="15.6" x14ac:dyDescent="0.3">
      <c r="A9" t="s">
        <v>132</v>
      </c>
    </row>
    <row r="10" spans="1:42" ht="15.6" x14ac:dyDescent="0.3">
      <c r="A10" t="s">
        <v>133</v>
      </c>
      <c r="P10">
        <v>0</v>
      </c>
    </row>
    <row r="11" spans="1:42" ht="15.6" x14ac:dyDescent="0.3">
      <c r="A11" t="s">
        <v>134</v>
      </c>
      <c r="P11">
        <v>0</v>
      </c>
    </row>
    <row r="12" spans="1:42" ht="15.6" x14ac:dyDescent="0.3">
      <c r="A12" t="s">
        <v>135</v>
      </c>
    </row>
    <row r="13" spans="1:42" ht="15.6" x14ac:dyDescent="0.3">
      <c r="A13" t="s">
        <v>136</v>
      </c>
      <c r="B13">
        <v>2740940538</v>
      </c>
      <c r="C13">
        <v>11603653315.669977</v>
      </c>
      <c r="D13">
        <v>8876575294.6059361</v>
      </c>
      <c r="E13">
        <v>5683211145.243125</v>
      </c>
      <c r="F13">
        <v>2990932693</v>
      </c>
      <c r="G13">
        <v>9633262966.8589211</v>
      </c>
      <c r="H13">
        <v>6599081230.1312361</v>
      </c>
      <c r="I13">
        <v>4152837997.2418928</v>
      </c>
      <c r="J13">
        <v>1796429482.5885439</v>
      </c>
      <c r="K13">
        <v>15005174497.360033</v>
      </c>
      <c r="L13">
        <v>12587182121.740936</v>
      </c>
      <c r="M13">
        <v>8683111612.7542572</v>
      </c>
      <c r="N13">
        <v>4850416247.0505629</v>
      </c>
      <c r="O13">
        <v>22024905580.257294</v>
      </c>
      <c r="P13">
        <v>4453977273</v>
      </c>
      <c r="Q13">
        <v>2852428837</v>
      </c>
      <c r="R13">
        <v>1426718611</v>
      </c>
      <c r="S13">
        <v>2078729539</v>
      </c>
      <c r="T13">
        <v>1459623153</v>
      </c>
      <c r="U13">
        <v>904982188</v>
      </c>
      <c r="V13">
        <v>396394654</v>
      </c>
      <c r="W13">
        <v>1197590437</v>
      </c>
      <c r="X13">
        <v>885315935</v>
      </c>
      <c r="Y13">
        <v>577772601</v>
      </c>
      <c r="Z13">
        <v>298545668</v>
      </c>
      <c r="AA13">
        <v>1015457214</v>
      </c>
      <c r="AB13">
        <v>803649034</v>
      </c>
      <c r="AC13">
        <v>563184879</v>
      </c>
      <c r="AD13">
        <v>263257353</v>
      </c>
      <c r="AE13">
        <v>735539749</v>
      </c>
      <c r="AF13">
        <v>499689341</v>
      </c>
      <c r="AG13">
        <v>286617472</v>
      </c>
      <c r="AH13">
        <v>139016847</v>
      </c>
      <c r="AI13">
        <v>315329200</v>
      </c>
      <c r="AJ13">
        <v>212167294</v>
      </c>
      <c r="AK13">
        <v>77143180</v>
      </c>
      <c r="AL13">
        <v>25126858</v>
      </c>
      <c r="AM13">
        <v>277003688</v>
      </c>
      <c r="AN13">
        <v>223213578</v>
      </c>
      <c r="AO13">
        <v>146098213</v>
      </c>
      <c r="AP13">
        <v>73938121</v>
      </c>
    </row>
    <row r="14" spans="1:42" ht="15.6" x14ac:dyDescent="0.3"/>
    <row r="15" spans="1:42" ht="15.6" x14ac:dyDescent="0.3">
      <c r="A15" t="s">
        <v>137</v>
      </c>
      <c r="B15">
        <v>-477931333</v>
      </c>
      <c r="C15">
        <v>-1927822497.381804</v>
      </c>
      <c r="D15">
        <v>-1441388092.9387922</v>
      </c>
      <c r="E15">
        <v>-959486229.5132767</v>
      </c>
      <c r="F15">
        <v>-451664817</v>
      </c>
      <c r="G15">
        <v>-2141744310.1175797</v>
      </c>
      <c r="H15">
        <v>-1529393377.1806715</v>
      </c>
      <c r="I15">
        <v>-1006085637.0707273</v>
      </c>
      <c r="J15">
        <v>-506062452.02882987</v>
      </c>
      <c r="K15">
        <v>-1634708328.8809822</v>
      </c>
      <c r="L15">
        <v>-1235169833.2301044</v>
      </c>
      <c r="M15">
        <v>-793721101.13229465</v>
      </c>
      <c r="N15">
        <v>-372601526.53286135</v>
      </c>
      <c r="O15">
        <v>-1182946379.1616991</v>
      </c>
      <c r="P15">
        <v>-193149417</v>
      </c>
      <c r="Q15">
        <v>-116311831</v>
      </c>
      <c r="R15">
        <v>-52198913</v>
      </c>
      <c r="S15">
        <v>-164552824</v>
      </c>
      <c r="T15">
        <v>-87338301</v>
      </c>
      <c r="U15">
        <v>-47441169</v>
      </c>
      <c r="V15">
        <v>-25325605</v>
      </c>
      <c r="W15">
        <v>-117412617</v>
      </c>
      <c r="X15">
        <v>-83549540</v>
      </c>
      <c r="Y15">
        <v>-59163821</v>
      </c>
      <c r="Z15">
        <v>-25360897</v>
      </c>
      <c r="AA15">
        <v>-95606154</v>
      </c>
      <c r="AB15">
        <v>-74549916</v>
      </c>
      <c r="AC15">
        <v>-46610827</v>
      </c>
      <c r="AD15">
        <v>-23268831</v>
      </c>
      <c r="AE15">
        <v>-68239611</v>
      </c>
      <c r="AF15">
        <v>-42037061</v>
      </c>
      <c r="AG15">
        <v>-25884384</v>
      </c>
      <c r="AH15">
        <v>-11109027</v>
      </c>
      <c r="AI15">
        <v>-55047968</v>
      </c>
      <c r="AJ15">
        <v>-43897435</v>
      </c>
      <c r="AK15">
        <v>-30671473</v>
      </c>
      <c r="AL15">
        <v>-12714483</v>
      </c>
      <c r="AM15">
        <v>-30017491</v>
      </c>
      <c r="AN15">
        <v>-25187921</v>
      </c>
      <c r="AO15">
        <v>-15458178</v>
      </c>
      <c r="AP15">
        <v>-7813879</v>
      </c>
    </row>
    <row r="16" spans="1:42" ht="15.6" x14ac:dyDescent="0.3">
      <c r="A16" t="s">
        <v>138</v>
      </c>
      <c r="B16">
        <v>-7964143</v>
      </c>
      <c r="C16">
        <v>-39173722.888604306</v>
      </c>
      <c r="D16">
        <v>-55042623.949174687</v>
      </c>
      <c r="E16">
        <v>-31198956.319989014</v>
      </c>
      <c r="F16">
        <v>-15531433</v>
      </c>
      <c r="G16">
        <v>-57214640.471372023</v>
      </c>
      <c r="H16">
        <v>-92556973.569247037</v>
      </c>
      <c r="I16">
        <v>-72217796.742175549</v>
      </c>
      <c r="J16">
        <v>-22561783.540037736</v>
      </c>
      <c r="K16">
        <v>-48754988.703954116</v>
      </c>
      <c r="L16">
        <v>-33958514.102780506</v>
      </c>
      <c r="M16">
        <v>-16321702.786137141</v>
      </c>
      <c r="N16">
        <v>-9385982.0529817324</v>
      </c>
      <c r="O16">
        <v>-90158619.093052521</v>
      </c>
      <c r="P16">
        <v>-8157524</v>
      </c>
      <c r="Q16">
        <v>-3668768</v>
      </c>
      <c r="R16">
        <v>-525004</v>
      </c>
      <c r="S16">
        <v>-8543603</v>
      </c>
      <c r="T16">
        <v>-4298135</v>
      </c>
      <c r="U16">
        <v>-2117428</v>
      </c>
      <c r="V16">
        <v>-1128095</v>
      </c>
      <c r="W16">
        <v>-9622641</v>
      </c>
      <c r="X16">
        <v>-3905905</v>
      </c>
      <c r="Y16">
        <v>-829996</v>
      </c>
      <c r="Z16">
        <v>-674548</v>
      </c>
      <c r="AA16">
        <v>-1521304</v>
      </c>
      <c r="AB16">
        <v>-1186873</v>
      </c>
      <c r="AC16">
        <v>-945075</v>
      </c>
      <c r="AD16">
        <v>-663209</v>
      </c>
      <c r="AE16">
        <v>-1370976</v>
      </c>
      <c r="AF16">
        <v>-1071831</v>
      </c>
      <c r="AG16">
        <v>-475521</v>
      </c>
      <c r="AH16">
        <v>-209160</v>
      </c>
      <c r="AI16">
        <v>-1258384</v>
      </c>
      <c r="AJ16">
        <v>-907695</v>
      </c>
      <c r="AK16">
        <v>-652084</v>
      </c>
      <c r="AL16">
        <v>-373771</v>
      </c>
      <c r="AM16">
        <v>-839496</v>
      </c>
      <c r="AN16">
        <v>-495368</v>
      </c>
      <c r="AO16">
        <v>-332796</v>
      </c>
      <c r="AP16">
        <v>-84092</v>
      </c>
    </row>
    <row r="17" spans="1:42" ht="15.6" x14ac:dyDescent="0.3">
      <c r="A17" t="s">
        <v>139</v>
      </c>
    </row>
    <row r="18" spans="1:42" ht="15.6" x14ac:dyDescent="0.3">
      <c r="A18" t="s">
        <v>140</v>
      </c>
      <c r="B18">
        <v>183277892</v>
      </c>
      <c r="C18">
        <v>1109962163.8907757</v>
      </c>
      <c r="D18">
        <v>762047702.05824983</v>
      </c>
      <c r="E18">
        <v>549382884.01619327</v>
      </c>
      <c r="F18">
        <v>158277142</v>
      </c>
      <c r="G18">
        <v>541298919.56383705</v>
      </c>
      <c r="H18">
        <v>722537035.74829674</v>
      </c>
      <c r="I18">
        <v>531670110.72827464</v>
      </c>
      <c r="J18">
        <v>529972091.67676723</v>
      </c>
      <c r="K18">
        <v>988310472.4562701</v>
      </c>
      <c r="L18">
        <v>414599923.04934764</v>
      </c>
      <c r="M18">
        <v>379523666.1855827</v>
      </c>
      <c r="N18">
        <v>230912836.91539222</v>
      </c>
      <c r="O18">
        <v>1549082020.9349136</v>
      </c>
      <c r="P18">
        <v>144261072</v>
      </c>
      <c r="Q18">
        <v>105283346</v>
      </c>
      <c r="R18">
        <v>15735520</v>
      </c>
      <c r="S18">
        <v>226348967</v>
      </c>
      <c r="T18">
        <v>11997590</v>
      </c>
      <c r="U18">
        <v>11866186</v>
      </c>
      <c r="V18">
        <v>7961346</v>
      </c>
      <c r="W18">
        <v>14082509</v>
      </c>
      <c r="X18">
        <v>6266214</v>
      </c>
      <c r="Y18">
        <v>4344547</v>
      </c>
      <c r="Z18">
        <v>466058</v>
      </c>
      <c r="AA18">
        <v>67206818</v>
      </c>
      <c r="AB18">
        <v>28368204</v>
      </c>
      <c r="AC18">
        <v>11492553</v>
      </c>
      <c r="AD18">
        <v>1502388</v>
      </c>
      <c r="AE18">
        <v>18257699</v>
      </c>
      <c r="AF18">
        <v>8608951</v>
      </c>
      <c r="AG18">
        <v>1717538</v>
      </c>
      <c r="AH18">
        <v>715611</v>
      </c>
      <c r="AI18">
        <v>24725041</v>
      </c>
      <c r="AJ18">
        <v>10819980</v>
      </c>
      <c r="AK18">
        <v>16245664</v>
      </c>
      <c r="AL18">
        <v>12603664</v>
      </c>
      <c r="AM18">
        <v>12805376</v>
      </c>
      <c r="AN18">
        <v>8024998</v>
      </c>
      <c r="AO18">
        <v>4984797</v>
      </c>
      <c r="AP18">
        <v>6581486</v>
      </c>
    </row>
    <row r="19" spans="1:42" ht="15.6" x14ac:dyDescent="0.3">
      <c r="A19" t="s">
        <v>141</v>
      </c>
      <c r="B19">
        <v>-93948527</v>
      </c>
      <c r="C19">
        <v>-188716078.05070195</v>
      </c>
      <c r="D19">
        <v>-106148638.96735585</v>
      </c>
      <c r="E19">
        <v>-71510448.880699322</v>
      </c>
      <c r="F19">
        <v>-48006992</v>
      </c>
      <c r="G19">
        <v>-180423464.80788988</v>
      </c>
      <c r="H19">
        <v>-189355101.3763639</v>
      </c>
      <c r="I19">
        <v>-80251480.956110299</v>
      </c>
      <c r="J19">
        <v>-52922874.385196209</v>
      </c>
      <c r="K19">
        <v>-212058092.75125444</v>
      </c>
      <c r="L19">
        <v>-163389721.9924787</v>
      </c>
      <c r="M19">
        <v>-144453039.68086788</v>
      </c>
      <c r="N19">
        <v>-128807021.48805887</v>
      </c>
      <c r="O19">
        <v>-595473856.97747624</v>
      </c>
      <c r="P19">
        <v>-118951172</v>
      </c>
      <c r="Q19">
        <v>-85862956</v>
      </c>
      <c r="R19">
        <v>-70542354</v>
      </c>
      <c r="S19">
        <v>-72848950</v>
      </c>
      <c r="T19">
        <v>-28011769</v>
      </c>
      <c r="U19">
        <v>-16431897</v>
      </c>
      <c r="V19">
        <v>-7201927</v>
      </c>
      <c r="W19">
        <v>-42165376</v>
      </c>
      <c r="X19">
        <v>-35562610</v>
      </c>
      <c r="Y19">
        <v>-16710371</v>
      </c>
      <c r="Z19">
        <v>-5320013</v>
      </c>
      <c r="AA19">
        <v>-9527013</v>
      </c>
      <c r="AB19">
        <v>-8266442</v>
      </c>
      <c r="AC19">
        <v>-4094317</v>
      </c>
      <c r="AD19">
        <v>-2641310</v>
      </c>
      <c r="AE19">
        <v>-33862938</v>
      </c>
      <c r="AF19">
        <v>-19269882</v>
      </c>
      <c r="AG19">
        <v>-7345560</v>
      </c>
      <c r="AH19">
        <v>-2095163</v>
      </c>
      <c r="AI19">
        <v>-8570535</v>
      </c>
      <c r="AJ19">
        <v>-9785467</v>
      </c>
      <c r="AK19">
        <v>-8461856</v>
      </c>
      <c r="AL19">
        <v>-6368479</v>
      </c>
      <c r="AM19">
        <v>-9297643</v>
      </c>
      <c r="AN19">
        <v>-5140174</v>
      </c>
      <c r="AO19">
        <v>-3025695</v>
      </c>
      <c r="AP19">
        <v>-1715161</v>
      </c>
    </row>
    <row r="20" spans="1:42" ht="15.6" x14ac:dyDescent="0.3">
      <c r="A20" t="s">
        <v>142</v>
      </c>
    </row>
    <row r="21" spans="1:42" ht="15.6" x14ac:dyDescent="0.3">
      <c r="A21" t="s">
        <v>143</v>
      </c>
      <c r="B21">
        <v>2344374427</v>
      </c>
      <c r="C21">
        <v>10557903181.239641</v>
      </c>
      <c r="D21">
        <v>8036043640.8088627</v>
      </c>
      <c r="E21">
        <v>5170398394.5453539</v>
      </c>
      <c r="F21">
        <v>2634006593</v>
      </c>
      <c r="G21">
        <v>7795179471.0259171</v>
      </c>
      <c r="H21">
        <v>5510312813.7532501</v>
      </c>
      <c r="I21">
        <v>3525953193.2011547</v>
      </c>
      <c r="J21">
        <v>1744854464.3112473</v>
      </c>
      <c r="K21">
        <v>14097963559.480114</v>
      </c>
      <c r="L21">
        <v>11569263975.46492</v>
      </c>
      <c r="M21">
        <v>8108139435.3405399</v>
      </c>
      <c r="N21">
        <v>4570534553.8920527</v>
      </c>
      <c r="O21">
        <v>21705408745.959976</v>
      </c>
      <c r="P21">
        <v>4277980232</v>
      </c>
      <c r="Q21">
        <v>2751868628</v>
      </c>
      <c r="R21">
        <v>1319187860</v>
      </c>
      <c r="S21">
        <v>2059133129</v>
      </c>
      <c r="T21">
        <v>1351972538</v>
      </c>
      <c r="U21">
        <v>850857880</v>
      </c>
      <c r="V21">
        <v>370700373</v>
      </c>
      <c r="W21">
        <v>1042472312</v>
      </c>
      <c r="X21">
        <v>768564094</v>
      </c>
      <c r="Y21">
        <v>505412960</v>
      </c>
      <c r="Z21">
        <v>267656268</v>
      </c>
      <c r="AA21">
        <v>976009561</v>
      </c>
      <c r="AB21">
        <v>748014007</v>
      </c>
      <c r="AC21">
        <v>523027213</v>
      </c>
      <c r="AD21">
        <v>238186391</v>
      </c>
      <c r="AE21">
        <v>650323923</v>
      </c>
      <c r="AF21">
        <v>445919518</v>
      </c>
      <c r="AG21">
        <v>254629545</v>
      </c>
      <c r="AH21">
        <v>126319108</v>
      </c>
      <c r="AI21">
        <v>275177354</v>
      </c>
      <c r="AJ21">
        <v>168396677</v>
      </c>
      <c r="AK21">
        <v>53603431</v>
      </c>
      <c r="AL21">
        <v>18273789</v>
      </c>
      <c r="AM21">
        <v>249654434</v>
      </c>
      <c r="AN21">
        <v>200415113</v>
      </c>
      <c r="AO21">
        <v>132266341</v>
      </c>
      <c r="AP21">
        <v>70906475</v>
      </c>
    </row>
    <row r="22" spans="1:42" ht="15.6" x14ac:dyDescent="0.3"/>
    <row r="23" spans="1:42" ht="15.6" x14ac:dyDescent="0.3">
      <c r="A23" t="s">
        <v>144</v>
      </c>
    </row>
    <row r="24" spans="1:42" ht="15.6" x14ac:dyDescent="0.3">
      <c r="A24" t="s">
        <v>145</v>
      </c>
    </row>
    <row r="25" spans="1:42" ht="15.6" x14ac:dyDescent="0.3">
      <c r="A25" t="s">
        <v>146</v>
      </c>
      <c r="B25">
        <v>2602</v>
      </c>
      <c r="C25">
        <v>918020464.92668772</v>
      </c>
      <c r="D25">
        <v>521459.03751462628</v>
      </c>
      <c r="E25">
        <v>521480.35079832835</v>
      </c>
      <c r="F25">
        <v>521472</v>
      </c>
      <c r="G25">
        <v>507710529.60238141</v>
      </c>
      <c r="H25">
        <v>535944014.22396517</v>
      </c>
      <c r="I25">
        <v>2576005.3318051063</v>
      </c>
      <c r="J25">
        <v>60147.258782249999</v>
      </c>
      <c r="K25">
        <v>160334050.37728485</v>
      </c>
      <c r="L25">
        <v>138920310.85506067</v>
      </c>
      <c r="M25">
        <v>175747155.07548428</v>
      </c>
      <c r="N25">
        <v>150280130.11600962</v>
      </c>
      <c r="O25">
        <v>102421698.70649356</v>
      </c>
      <c r="P25">
        <v>7454176</v>
      </c>
      <c r="Q25">
        <v>5615545</v>
      </c>
      <c r="R25">
        <v>74194</v>
      </c>
      <c r="S25">
        <v>1984207</v>
      </c>
      <c r="T25">
        <v>0</v>
      </c>
      <c r="U25">
        <v>0</v>
      </c>
      <c r="V25">
        <v>0</v>
      </c>
      <c r="W25">
        <v>156404</v>
      </c>
      <c r="X25">
        <v>153358</v>
      </c>
      <c r="AA25">
        <v>633402</v>
      </c>
      <c r="AB25">
        <v>482032</v>
      </c>
      <c r="AC25">
        <v>482032</v>
      </c>
      <c r="AD25">
        <v>412453</v>
      </c>
      <c r="AE25">
        <v>2640864</v>
      </c>
      <c r="AF25">
        <v>2647294</v>
      </c>
      <c r="AG25">
        <v>2609175</v>
      </c>
      <c r="AH25">
        <v>2596878</v>
      </c>
      <c r="AI25">
        <v>591940550</v>
      </c>
      <c r="AJ25">
        <v>217303064</v>
      </c>
      <c r="AK25">
        <v>80160184</v>
      </c>
      <c r="AL25">
        <v>22834127</v>
      </c>
      <c r="AM25">
        <v>3950599</v>
      </c>
      <c r="AN25">
        <v>583910</v>
      </c>
      <c r="AO25">
        <v>191196</v>
      </c>
      <c r="AP25">
        <v>191196</v>
      </c>
    </row>
    <row r="26" spans="1:42" ht="15.6" x14ac:dyDescent="0.3">
      <c r="A26" t="s">
        <v>147</v>
      </c>
      <c r="C26">
        <v>-4298060.323079681</v>
      </c>
      <c r="D26">
        <v>-5425250.2031468097</v>
      </c>
      <c r="G26">
        <v>-853587618.17680788</v>
      </c>
      <c r="H26">
        <v>0</v>
      </c>
      <c r="K26">
        <v>-246328317.05835983</v>
      </c>
      <c r="O26">
        <v>-5003221092.3139658</v>
      </c>
      <c r="AB26">
        <v>0</v>
      </c>
      <c r="AF26">
        <v>0</v>
      </c>
      <c r="AI26">
        <v>-4160221</v>
      </c>
      <c r="AJ26">
        <v>-9666016</v>
      </c>
      <c r="AK26">
        <v>-110675</v>
      </c>
      <c r="AL26">
        <v>0</v>
      </c>
      <c r="AM26">
        <v>-90155036</v>
      </c>
      <c r="AN26">
        <v>-2296139</v>
      </c>
      <c r="AO26">
        <v>-2296139</v>
      </c>
      <c r="AP26">
        <v>66628</v>
      </c>
    </row>
    <row r="27" spans="1:42" ht="15.6" x14ac:dyDescent="0.3">
      <c r="A27" t="s">
        <v>148</v>
      </c>
      <c r="B27">
        <v>-60440663</v>
      </c>
      <c r="C27">
        <v>699928331.05928791</v>
      </c>
      <c r="D27">
        <v>592929033.03924894</v>
      </c>
      <c r="E27">
        <v>306384577.17382514</v>
      </c>
      <c r="F27">
        <v>146514691</v>
      </c>
      <c r="G27">
        <v>191786475.63171661</v>
      </c>
      <c r="H27">
        <v>219467596.64337942</v>
      </c>
      <c r="I27">
        <v>52034674.885303155</v>
      </c>
      <c r="J27">
        <v>-36976314.0370031</v>
      </c>
      <c r="K27">
        <v>-884867783.32697856</v>
      </c>
      <c r="L27">
        <v>-950130766.57965469</v>
      </c>
      <c r="M27">
        <v>-806621415.32155967</v>
      </c>
      <c r="N27">
        <v>-451703839.29694861</v>
      </c>
      <c r="O27">
        <v>-369673326.85332745</v>
      </c>
      <c r="P27">
        <v>-31222981</v>
      </c>
      <c r="Q27">
        <v>-23941312</v>
      </c>
      <c r="R27">
        <v>-74965028</v>
      </c>
      <c r="S27">
        <v>-17690953</v>
      </c>
      <c r="T27">
        <v>-8080827</v>
      </c>
      <c r="U27">
        <v>-10610638</v>
      </c>
      <c r="V27">
        <v>-10342693</v>
      </c>
      <c r="W27">
        <v>-10604865</v>
      </c>
      <c r="X27">
        <v>-20875722</v>
      </c>
      <c r="Y27">
        <v>-18329207</v>
      </c>
      <c r="Z27">
        <v>-5256628</v>
      </c>
      <c r="AA27">
        <v>5096478</v>
      </c>
      <c r="AB27">
        <v>-2678527</v>
      </c>
      <c r="AC27">
        <v>-15371577</v>
      </c>
      <c r="AD27">
        <v>-81854</v>
      </c>
      <c r="AE27">
        <v>-11218447</v>
      </c>
      <c r="AF27">
        <v>-7080</v>
      </c>
      <c r="AG27">
        <v>-7080</v>
      </c>
      <c r="AH27">
        <v>-71778</v>
      </c>
      <c r="AI27">
        <v>-7424552</v>
      </c>
    </row>
    <row r="28" spans="1:42" ht="15.6" x14ac:dyDescent="0.3">
      <c r="A28" t="s">
        <v>149</v>
      </c>
      <c r="Y28">
        <v>75837</v>
      </c>
      <c r="Z28">
        <v>72548</v>
      </c>
    </row>
    <row r="29" spans="1:42" ht="15.6" x14ac:dyDescent="0.3">
      <c r="A29" t="s">
        <v>150</v>
      </c>
    </row>
    <row r="30" spans="1:42" ht="15.6" x14ac:dyDescent="0.3">
      <c r="A30" t="s">
        <v>151</v>
      </c>
    </row>
    <row r="31" spans="1:42" ht="15.6" x14ac:dyDescent="0.3">
      <c r="A31" t="s">
        <v>152</v>
      </c>
    </row>
    <row r="32" spans="1:42" ht="15.6" x14ac:dyDescent="0.3">
      <c r="A32" t="s">
        <v>153</v>
      </c>
    </row>
    <row r="33" spans="1:42" ht="15.6" x14ac:dyDescent="0.3">
      <c r="A33" t="s">
        <v>154</v>
      </c>
      <c r="B33">
        <v>2283936366</v>
      </c>
      <c r="C33">
        <v>12171553916.902538</v>
      </c>
      <c r="D33">
        <v>8624068882.6824799</v>
      </c>
      <c r="E33">
        <v>5477304452.0699768</v>
      </c>
      <c r="F33">
        <v>2781042756</v>
      </c>
      <c r="G33">
        <v>7641088858.0832071</v>
      </c>
      <c r="H33">
        <v>6265724424.620595</v>
      </c>
      <c r="I33">
        <v>3580563873.418263</v>
      </c>
      <c r="J33">
        <v>1707938297.5330267</v>
      </c>
      <c r="K33">
        <v>13127101509.472061</v>
      </c>
      <c r="L33">
        <v>10758053519.740326</v>
      </c>
      <c r="M33">
        <v>7477265175.0944633</v>
      </c>
      <c r="N33">
        <v>4269110844.7111144</v>
      </c>
      <c r="O33">
        <v>16434936025.499176</v>
      </c>
      <c r="P33">
        <v>4254211427</v>
      </c>
      <c r="Q33">
        <v>2733542861</v>
      </c>
      <c r="R33">
        <v>1244297026</v>
      </c>
      <c r="S33">
        <v>2043426383</v>
      </c>
      <c r="T33">
        <v>1343891711</v>
      </c>
      <c r="U33">
        <v>840247242</v>
      </c>
      <c r="V33">
        <v>360357680</v>
      </c>
      <c r="W33">
        <v>1032023851</v>
      </c>
      <c r="X33">
        <v>747841730</v>
      </c>
      <c r="Y33">
        <v>487159590</v>
      </c>
      <c r="Z33">
        <v>262472188</v>
      </c>
      <c r="AA33">
        <v>981739441</v>
      </c>
      <c r="AB33">
        <v>745817512</v>
      </c>
      <c r="AC33">
        <v>508137668</v>
      </c>
      <c r="AD33">
        <v>238516990</v>
      </c>
      <c r="AE33">
        <v>641746340</v>
      </c>
      <c r="AF33">
        <v>448559732</v>
      </c>
      <c r="AG33">
        <v>257231640</v>
      </c>
      <c r="AH33">
        <v>128844208</v>
      </c>
      <c r="AI33">
        <v>855533131</v>
      </c>
      <c r="AJ33">
        <v>376033725</v>
      </c>
      <c r="AK33">
        <v>133652940</v>
      </c>
      <c r="AL33">
        <v>41107916</v>
      </c>
      <c r="AM33">
        <v>163449997</v>
      </c>
      <c r="AN33">
        <v>198702884</v>
      </c>
      <c r="AO33">
        <v>130161398</v>
      </c>
      <c r="AP33">
        <v>71164299</v>
      </c>
    </row>
    <row r="34" spans="1:42" ht="15.6" x14ac:dyDescent="0.3"/>
    <row r="35" spans="1:42" ht="15.6" x14ac:dyDescent="0.3">
      <c r="A35" t="s">
        <v>155</v>
      </c>
      <c r="B35">
        <v>933715476</v>
      </c>
      <c r="C35">
        <v>3072779949.617846</v>
      </c>
      <c r="D35">
        <v>2687450134.7848372</v>
      </c>
      <c r="E35">
        <v>2137045537.3923318</v>
      </c>
      <c r="F35">
        <v>1375812341</v>
      </c>
      <c r="G35">
        <v>6692389689.6389847</v>
      </c>
      <c r="H35">
        <v>7666927059.0591993</v>
      </c>
      <c r="I35">
        <v>5156571411.2020235</v>
      </c>
      <c r="J35">
        <v>2380531527.0135341</v>
      </c>
      <c r="K35">
        <v>8759434869.7864075</v>
      </c>
      <c r="L35">
        <v>7242685645.0326118</v>
      </c>
      <c r="M35">
        <v>5349801280.7751427</v>
      </c>
      <c r="N35">
        <v>1626081344.7477376</v>
      </c>
      <c r="O35">
        <v>5825101046.4438686</v>
      </c>
      <c r="P35">
        <v>1533470064</v>
      </c>
      <c r="Q35">
        <v>907586033</v>
      </c>
      <c r="R35">
        <v>516735512</v>
      </c>
      <c r="S35">
        <v>987059390</v>
      </c>
      <c r="T35">
        <v>179984683</v>
      </c>
      <c r="U35">
        <v>119486623</v>
      </c>
      <c r="V35">
        <v>36358112</v>
      </c>
      <c r="W35">
        <v>356862103</v>
      </c>
      <c r="X35">
        <v>362907668</v>
      </c>
      <c r="Y35">
        <v>205611106</v>
      </c>
      <c r="Z35">
        <v>99858231</v>
      </c>
      <c r="AA35">
        <v>398409926</v>
      </c>
      <c r="AB35">
        <v>300929695</v>
      </c>
      <c r="AC35">
        <v>239802613</v>
      </c>
      <c r="AD35">
        <v>109700871</v>
      </c>
      <c r="AE35">
        <v>424894229</v>
      </c>
      <c r="AF35">
        <v>493510462</v>
      </c>
      <c r="AG35">
        <v>184548331</v>
      </c>
      <c r="AH35">
        <v>32246414</v>
      </c>
      <c r="AI35">
        <v>88925423</v>
      </c>
      <c r="AJ35">
        <v>79215430</v>
      </c>
      <c r="AK35">
        <v>56971351</v>
      </c>
      <c r="AL35">
        <v>110600897</v>
      </c>
      <c r="AM35">
        <v>51460853</v>
      </c>
      <c r="AN35">
        <v>31181823</v>
      </c>
      <c r="AO35">
        <v>32585244</v>
      </c>
      <c r="AP35">
        <v>24466988</v>
      </c>
    </row>
    <row r="36" spans="1:42" ht="15.6" x14ac:dyDescent="0.3">
      <c r="A36" t="s">
        <v>156</v>
      </c>
      <c r="B36">
        <v>-582852465</v>
      </c>
      <c r="C36">
        <v>-4775232290.1123943</v>
      </c>
      <c r="D36">
        <v>-4043556930.3374</v>
      </c>
      <c r="E36">
        <v>-2740410336.1744227</v>
      </c>
      <c r="F36">
        <v>-1737544474</v>
      </c>
      <c r="G36">
        <v>-6454195357.3315229</v>
      </c>
      <c r="H36">
        <v>-6437628312.7017174</v>
      </c>
      <c r="I36">
        <v>-3279873809.9732776</v>
      </c>
      <c r="J36">
        <v>-1261329065.8315291</v>
      </c>
      <c r="K36">
        <v>-5262115146.2061653</v>
      </c>
      <c r="L36">
        <v>-5305163356.8697872</v>
      </c>
      <c r="M36">
        <v>-3774172912.9339237</v>
      </c>
      <c r="N36">
        <v>-2396131017.8118134</v>
      </c>
      <c r="O36">
        <v>-4350408175.5931759</v>
      </c>
      <c r="P36">
        <v>-779332332</v>
      </c>
      <c r="Q36">
        <v>-507041987</v>
      </c>
      <c r="R36">
        <v>-205294094</v>
      </c>
      <c r="S36">
        <v>-630159142</v>
      </c>
      <c r="T36">
        <v>-431833865</v>
      </c>
      <c r="U36">
        <v>-279832220</v>
      </c>
      <c r="V36">
        <v>-134402402</v>
      </c>
      <c r="W36">
        <v>-682056938</v>
      </c>
      <c r="X36">
        <v>-609805765</v>
      </c>
      <c r="Y36">
        <v>-377980825</v>
      </c>
      <c r="Z36">
        <v>-272979770</v>
      </c>
      <c r="AA36">
        <v>-828696646</v>
      </c>
      <c r="AB36">
        <v>-662942222</v>
      </c>
      <c r="AC36">
        <v>-499702749</v>
      </c>
      <c r="AD36">
        <v>-258618421</v>
      </c>
      <c r="AE36">
        <v>-886863321</v>
      </c>
      <c r="AF36">
        <v>-794982245</v>
      </c>
      <c r="AG36">
        <v>-359600261</v>
      </c>
      <c r="AH36">
        <v>-137846534</v>
      </c>
      <c r="AI36">
        <v>-598027562</v>
      </c>
      <c r="AJ36">
        <v>-363436405</v>
      </c>
      <c r="AK36">
        <v>-288139993</v>
      </c>
      <c r="AL36">
        <v>-250254570</v>
      </c>
      <c r="AM36">
        <v>-636073155</v>
      </c>
      <c r="AN36">
        <v>-320301204</v>
      </c>
      <c r="AO36">
        <v>-167533906</v>
      </c>
      <c r="AP36">
        <v>-85929379</v>
      </c>
    </row>
    <row r="37" spans="1:42" ht="15.6" x14ac:dyDescent="0.3">
      <c r="A37" t="s">
        <v>157</v>
      </c>
      <c r="B37">
        <v>-1195940456</v>
      </c>
      <c r="C37">
        <v>-2198029679.3881617</v>
      </c>
      <c r="D37">
        <v>-2174914381.6728754</v>
      </c>
      <c r="E37">
        <v>-1449983004.0403874</v>
      </c>
      <c r="F37">
        <v>-907615331</v>
      </c>
      <c r="G37">
        <v>-1111723948.3830647</v>
      </c>
      <c r="H37">
        <v>-815579463.05514944</v>
      </c>
      <c r="I37">
        <v>-752865794.8772639</v>
      </c>
      <c r="J37">
        <v>-422802440.2736122</v>
      </c>
      <c r="K37">
        <v>-1772923721.9071429</v>
      </c>
      <c r="L37">
        <v>-1380473398.3850274</v>
      </c>
      <c r="M37">
        <v>-1020460369.9971286</v>
      </c>
      <c r="N37">
        <v>-94997808.702292517</v>
      </c>
      <c r="O37">
        <v>-946753843.35582829</v>
      </c>
    </row>
    <row r="38" spans="1:42" ht="15.6" x14ac:dyDescent="0.3">
      <c r="A38" t="s">
        <v>158</v>
      </c>
      <c r="B38">
        <v>1438858921</v>
      </c>
      <c r="C38">
        <v>8271071897.0198269</v>
      </c>
      <c r="D38">
        <v>5093047705.4570417</v>
      </c>
      <c r="E38">
        <v>3423956649.247499</v>
      </c>
      <c r="F38">
        <v>1511695292</v>
      </c>
      <c r="G38">
        <v>6767559242.0076046</v>
      </c>
      <c r="H38">
        <v>6679443707.9229279</v>
      </c>
      <c r="I38">
        <v>4704395679.7697439</v>
      </c>
      <c r="J38">
        <v>2404338318.4414191</v>
      </c>
      <c r="K38">
        <v>14851497511.145161</v>
      </c>
      <c r="L38">
        <v>11315102409.518126</v>
      </c>
      <c r="M38">
        <v>8032433172.9385548</v>
      </c>
      <c r="N38">
        <v>3404063362.9447465</v>
      </c>
      <c r="O38">
        <v>16962875052.99404</v>
      </c>
      <c r="P38">
        <v>5008349159</v>
      </c>
      <c r="Q38">
        <v>3134086907</v>
      </c>
      <c r="R38">
        <v>1555738444</v>
      </c>
      <c r="S38">
        <v>2400326631</v>
      </c>
      <c r="T38">
        <v>1092042529</v>
      </c>
      <c r="U38">
        <v>679901645</v>
      </c>
      <c r="V38">
        <v>262313390</v>
      </c>
      <c r="W38">
        <v>706829016</v>
      </c>
      <c r="X38">
        <v>500943633</v>
      </c>
      <c r="Y38">
        <v>314789871</v>
      </c>
      <c r="Z38">
        <v>89350649</v>
      </c>
      <c r="AA38">
        <v>551452721</v>
      </c>
      <c r="AB38">
        <v>383804985</v>
      </c>
      <c r="AC38">
        <v>248237532</v>
      </c>
      <c r="AD38">
        <v>89599440</v>
      </c>
      <c r="AE38">
        <v>179777248</v>
      </c>
      <c r="AF38">
        <v>147087949</v>
      </c>
      <c r="AG38">
        <v>82179710</v>
      </c>
      <c r="AH38">
        <v>23244088</v>
      </c>
      <c r="AI38">
        <v>346430992</v>
      </c>
      <c r="AJ38">
        <v>91812750</v>
      </c>
      <c r="AK38">
        <v>-97515702</v>
      </c>
      <c r="AL38">
        <v>-98545757</v>
      </c>
      <c r="AM38">
        <v>-421162305</v>
      </c>
      <c r="AN38">
        <v>-90416497</v>
      </c>
      <c r="AO38">
        <v>-4787264</v>
      </c>
      <c r="AP38">
        <v>9701908</v>
      </c>
    </row>
    <row r="39" spans="1:42" ht="15.6" x14ac:dyDescent="0.3"/>
    <row r="40" spans="1:42" ht="15.6" x14ac:dyDescent="0.3">
      <c r="A40" t="s">
        <v>159</v>
      </c>
      <c r="B40">
        <v>-642899775</v>
      </c>
      <c r="C40">
        <v>-3483642021.7016225</v>
      </c>
      <c r="D40">
        <v>-1805809755.3731506</v>
      </c>
      <c r="E40">
        <v>-1360272347.2323215</v>
      </c>
      <c r="F40">
        <v>-786807643</v>
      </c>
      <c r="G40">
        <v>-2520944676.0755749</v>
      </c>
      <c r="H40">
        <v>-1697763075.3287935</v>
      </c>
      <c r="I40">
        <v>-1141559460.595402</v>
      </c>
      <c r="J40">
        <v>-595006749.47900021</v>
      </c>
      <c r="K40">
        <v>-2153764723.9838705</v>
      </c>
      <c r="L40">
        <v>-3343892266.0254536</v>
      </c>
      <c r="M40">
        <v>-1835790842.3752184</v>
      </c>
      <c r="N40">
        <v>-315116375.87988561</v>
      </c>
      <c r="O40">
        <v>-3910086952.2972279</v>
      </c>
      <c r="P40">
        <v>-742053344</v>
      </c>
      <c r="Q40">
        <v>-481365370</v>
      </c>
      <c r="R40">
        <v>-285492473</v>
      </c>
      <c r="S40">
        <v>-565239976</v>
      </c>
      <c r="T40">
        <v>-157391105</v>
      </c>
      <c r="U40">
        <v>-124744028</v>
      </c>
      <c r="V40">
        <v>-20410103</v>
      </c>
      <c r="W40">
        <v>-148824227</v>
      </c>
      <c r="X40">
        <v>-53304259</v>
      </c>
      <c r="Y40">
        <v>-23688627</v>
      </c>
      <c r="Z40">
        <v>17855211</v>
      </c>
      <c r="AA40">
        <v>-96109432</v>
      </c>
      <c r="AB40">
        <v>-34221226</v>
      </c>
      <c r="AC40">
        <v>-19608180</v>
      </c>
      <c r="AD40">
        <v>18440128</v>
      </c>
      <c r="AE40">
        <v>-29298814</v>
      </c>
      <c r="AF40">
        <v>-17095097</v>
      </c>
      <c r="AG40">
        <v>2521510</v>
      </c>
      <c r="AH40">
        <v>25065639</v>
      </c>
      <c r="AI40">
        <v>43143042</v>
      </c>
      <c r="AJ40">
        <v>27313577</v>
      </c>
      <c r="AK40">
        <v>18434212</v>
      </c>
      <c r="AL40">
        <v>14829369</v>
      </c>
      <c r="AM40">
        <v>58305896</v>
      </c>
      <c r="AN40">
        <v>8049298</v>
      </c>
      <c r="AO40">
        <v>-5765190</v>
      </c>
      <c r="AP40">
        <v>972316</v>
      </c>
    </row>
    <row r="41" spans="1:42" ht="15.6" x14ac:dyDescent="0.3">
      <c r="A41" t="s">
        <v>160</v>
      </c>
      <c r="B41">
        <v>-561719803</v>
      </c>
      <c r="C41">
        <v>-2100742354.8521147</v>
      </c>
      <c r="D41">
        <v>-1327653498.7805014</v>
      </c>
      <c r="E41">
        <v>-937733322.34828246</v>
      </c>
      <c r="F41">
        <v>-602714221</v>
      </c>
      <c r="G41">
        <v>-2684607230.9184461</v>
      </c>
      <c r="H41">
        <v>-1446671030.6839707</v>
      </c>
      <c r="I41">
        <v>-932589334.85814631</v>
      </c>
      <c r="J41">
        <v>-467137375.94276172</v>
      </c>
      <c r="K41">
        <v>-5127485055.3491497</v>
      </c>
      <c r="L41">
        <v>-3394779400.7884459</v>
      </c>
      <c r="M41">
        <v>-2495634870.9507742</v>
      </c>
      <c r="N41">
        <v>-1055337863.3008119</v>
      </c>
      <c r="O41">
        <v>-4721062954.5843344</v>
      </c>
      <c r="P41">
        <v>-964608778</v>
      </c>
      <c r="Q41">
        <v>-616554515</v>
      </c>
      <c r="R41">
        <v>-376616081</v>
      </c>
      <c r="S41">
        <v>-746816270</v>
      </c>
      <c r="T41">
        <v>-254310521</v>
      </c>
      <c r="U41">
        <v>-156218552</v>
      </c>
      <c r="V41">
        <v>-38197857</v>
      </c>
      <c r="W41">
        <v>-180742077</v>
      </c>
      <c r="X41">
        <v>-80569172</v>
      </c>
      <c r="Y41">
        <v>-38837372</v>
      </c>
      <c r="Z41">
        <v>-6092100</v>
      </c>
      <c r="AA41">
        <v>-147722478</v>
      </c>
      <c r="AB41">
        <v>-50704200</v>
      </c>
      <c r="AC41">
        <v>-33718200</v>
      </c>
      <c r="AD41">
        <v>-5921463</v>
      </c>
      <c r="AE41">
        <v>-67892244</v>
      </c>
      <c r="AF41">
        <v>-38963664</v>
      </c>
      <c r="AG41">
        <v>-26345695</v>
      </c>
      <c r="AH41">
        <v>-2503238</v>
      </c>
      <c r="AI41">
        <v>-4532705</v>
      </c>
      <c r="AJ41">
        <v>-7309891</v>
      </c>
      <c r="AK41">
        <v>-5750697</v>
      </c>
      <c r="AL41">
        <v>-3521164</v>
      </c>
      <c r="AM41">
        <v>-15498189</v>
      </c>
      <c r="AN41">
        <v>-6867708</v>
      </c>
      <c r="AO41">
        <v>-6976387</v>
      </c>
      <c r="AP41">
        <v>-4619789</v>
      </c>
    </row>
    <row r="42" spans="1:42" ht="15.6" x14ac:dyDescent="0.3">
      <c r="A42" t="s">
        <v>161</v>
      </c>
      <c r="B42">
        <v>-81179972</v>
      </c>
      <c r="C42">
        <v>-1382899666.8495078</v>
      </c>
      <c r="D42">
        <v>-478156256.5926491</v>
      </c>
      <c r="E42">
        <v>-422539024.88403887</v>
      </c>
      <c r="F42">
        <v>-184093422</v>
      </c>
      <c r="G42">
        <v>163662554.84287125</v>
      </c>
      <c r="H42">
        <v>-251092044.64482272</v>
      </c>
      <c r="I42">
        <v>-208970125.73725566</v>
      </c>
      <c r="J42">
        <v>-127869373.53623846</v>
      </c>
      <c r="K42">
        <v>2973720331.3652792</v>
      </c>
      <c r="L42">
        <v>50887134.762992062</v>
      </c>
      <c r="M42">
        <v>659844028.57555544</v>
      </c>
      <c r="N42">
        <v>740221487.42092633</v>
      </c>
      <c r="O42">
        <v>810976002.28710651</v>
      </c>
      <c r="P42">
        <v>222555434</v>
      </c>
      <c r="Q42">
        <v>135189145</v>
      </c>
      <c r="R42">
        <v>91123608</v>
      </c>
      <c r="S42">
        <v>181576294</v>
      </c>
      <c r="T42">
        <v>96919416</v>
      </c>
      <c r="U42">
        <v>31474524</v>
      </c>
      <c r="V42">
        <v>17787754</v>
      </c>
      <c r="W42">
        <v>31917850</v>
      </c>
      <c r="X42">
        <v>27264913</v>
      </c>
      <c r="Y42">
        <v>15148745</v>
      </c>
      <c r="Z42">
        <v>23947311</v>
      </c>
      <c r="AA42">
        <v>51613046</v>
      </c>
      <c r="AB42">
        <v>16482974</v>
      </c>
      <c r="AC42">
        <v>14110020</v>
      </c>
      <c r="AD42">
        <v>24361591</v>
      </c>
      <c r="AE42">
        <v>38593430</v>
      </c>
      <c r="AF42">
        <v>21868567</v>
      </c>
      <c r="AG42">
        <v>28867205</v>
      </c>
      <c r="AH42">
        <v>27568877</v>
      </c>
      <c r="AI42">
        <v>47675747</v>
      </c>
      <c r="AJ42">
        <v>34623468</v>
      </c>
      <c r="AK42">
        <v>24184909</v>
      </c>
      <c r="AL42">
        <v>18350533</v>
      </c>
      <c r="AM42">
        <v>73804085</v>
      </c>
      <c r="AN42">
        <v>14917006</v>
      </c>
      <c r="AO42">
        <v>1211197</v>
      </c>
      <c r="AP42">
        <v>5592105</v>
      </c>
    </row>
    <row r="43" spans="1:42" ht="15.6" x14ac:dyDescent="0.3">
      <c r="A43" t="s">
        <v>162</v>
      </c>
      <c r="B43">
        <v>795959146</v>
      </c>
      <c r="C43">
        <v>4787429875.3182049</v>
      </c>
      <c r="D43">
        <v>3287237950.0838909</v>
      </c>
      <c r="E43">
        <v>2063684302.015178</v>
      </c>
      <c r="F43">
        <v>724887649</v>
      </c>
      <c r="G43">
        <v>4246614565.9320292</v>
      </c>
      <c r="H43">
        <v>4981680632.5941343</v>
      </c>
      <c r="I43">
        <v>3562836219.1743426</v>
      </c>
      <c r="J43">
        <v>1809331568.9624193</v>
      </c>
      <c r="K43">
        <v>12697732787.161289</v>
      </c>
      <c r="L43">
        <v>7971210143.4926701</v>
      </c>
      <c r="M43">
        <v>6196642330.5633364</v>
      </c>
      <c r="N43">
        <v>3088946987.0648608</v>
      </c>
      <c r="O43">
        <v>13052788100.696812</v>
      </c>
      <c r="P43">
        <v>4266295815</v>
      </c>
      <c r="Q43">
        <v>2652721537</v>
      </c>
      <c r="R43">
        <v>1270245971</v>
      </c>
      <c r="S43">
        <v>1835086655</v>
      </c>
      <c r="T43">
        <v>934651424</v>
      </c>
      <c r="U43">
        <v>555157617</v>
      </c>
      <c r="V43">
        <v>241903287</v>
      </c>
      <c r="W43">
        <v>558004789</v>
      </c>
      <c r="X43">
        <v>447639374</v>
      </c>
      <c r="Y43">
        <v>291101244</v>
      </c>
      <c r="Z43">
        <v>107205860</v>
      </c>
      <c r="AA43">
        <v>455343289</v>
      </c>
      <c r="AB43">
        <v>349583759</v>
      </c>
      <c r="AC43">
        <v>228629352</v>
      </c>
      <c r="AD43">
        <v>108039568</v>
      </c>
      <c r="AE43">
        <v>150478434</v>
      </c>
      <c r="AF43">
        <v>129992852</v>
      </c>
      <c r="AG43">
        <v>84701220</v>
      </c>
      <c r="AH43">
        <v>48309727</v>
      </c>
      <c r="AI43">
        <v>389574034</v>
      </c>
      <c r="AJ43">
        <v>119126327</v>
      </c>
      <c r="AK43">
        <v>-79081490</v>
      </c>
      <c r="AL43">
        <v>-83716388</v>
      </c>
      <c r="AM43">
        <v>-362856409</v>
      </c>
      <c r="AN43">
        <v>-82367199</v>
      </c>
      <c r="AO43">
        <v>-10552454</v>
      </c>
      <c r="AP43">
        <v>10674224</v>
      </c>
    </row>
    <row r="44" spans="1:42" ht="15.6" x14ac:dyDescent="0.3">
      <c r="A44" t="s">
        <v>163</v>
      </c>
    </row>
    <row r="45" spans="1:42" ht="15.6" x14ac:dyDescent="0.3"/>
    <row r="46" spans="1:42" ht="15.6" x14ac:dyDescent="0.3">
      <c r="A46" t="s">
        <v>164</v>
      </c>
      <c r="B46">
        <v>795959146</v>
      </c>
      <c r="C46">
        <v>4787429875.3182049</v>
      </c>
      <c r="D46">
        <v>3287237950.0838909</v>
      </c>
      <c r="E46">
        <v>2063684302.015178</v>
      </c>
      <c r="F46">
        <v>724887649</v>
      </c>
      <c r="G46">
        <v>4246614565.9320292</v>
      </c>
      <c r="H46">
        <v>4981680632.5941343</v>
      </c>
      <c r="I46">
        <v>3562836219.1743426</v>
      </c>
      <c r="J46">
        <v>1809331568.9624193</v>
      </c>
      <c r="K46">
        <v>12697732787.161289</v>
      </c>
      <c r="L46">
        <v>7971210143.4926701</v>
      </c>
      <c r="M46">
        <v>6196642330.5633364</v>
      </c>
      <c r="N46">
        <v>3088946987.0648608</v>
      </c>
      <c r="O46">
        <v>13052788100.696812</v>
      </c>
      <c r="P46">
        <v>4266295815</v>
      </c>
      <c r="Q46">
        <v>2652721537</v>
      </c>
      <c r="R46">
        <v>1270245971</v>
      </c>
      <c r="S46">
        <v>1835086655</v>
      </c>
      <c r="T46">
        <v>934651424</v>
      </c>
      <c r="U46">
        <v>555157617</v>
      </c>
      <c r="V46">
        <v>241903287</v>
      </c>
      <c r="W46">
        <v>558004789</v>
      </c>
      <c r="X46">
        <v>447639374</v>
      </c>
      <c r="Y46">
        <v>291101244</v>
      </c>
      <c r="Z46">
        <v>107205860</v>
      </c>
      <c r="AA46">
        <v>455343289</v>
      </c>
      <c r="AB46">
        <v>349583759</v>
      </c>
      <c r="AC46">
        <v>228629352</v>
      </c>
      <c r="AD46">
        <v>108039568</v>
      </c>
      <c r="AE46">
        <v>150478434</v>
      </c>
      <c r="AF46">
        <v>129992852</v>
      </c>
      <c r="AG46">
        <v>84701220</v>
      </c>
      <c r="AH46">
        <v>48309727</v>
      </c>
      <c r="AI46">
        <v>389574034</v>
      </c>
      <c r="AJ46">
        <v>119126327</v>
      </c>
      <c r="AK46">
        <v>-79081490</v>
      </c>
      <c r="AL46">
        <v>-83716388</v>
      </c>
      <c r="AM46">
        <v>-362856409</v>
      </c>
      <c r="AN46">
        <v>-82367199</v>
      </c>
      <c r="AO46">
        <v>-10552454</v>
      </c>
      <c r="AP46">
        <v>10674224</v>
      </c>
    </row>
    <row r="47" spans="1:42" ht="15.6" x14ac:dyDescent="0.3">
      <c r="A47" t="s">
        <v>120</v>
      </c>
      <c r="B47">
        <v>231066906</v>
      </c>
      <c r="C47">
        <v>768283194.20917106</v>
      </c>
      <c r="D47">
        <v>519800363.81466019</v>
      </c>
      <c r="E47">
        <v>394665148.6789223</v>
      </c>
      <c r="F47">
        <v>202866513</v>
      </c>
      <c r="G47">
        <v>1355460559.6052899</v>
      </c>
      <c r="H47">
        <v>1455315863.6889837</v>
      </c>
      <c r="I47">
        <v>1047793879.074533</v>
      </c>
      <c r="J47">
        <v>496917276.19994444</v>
      </c>
      <c r="K47">
        <v>1267057834.102371</v>
      </c>
      <c r="L47">
        <v>964044076.70507014</v>
      </c>
      <c r="M47">
        <v>422103969.5217157</v>
      </c>
      <c r="N47">
        <v>189104144.34800306</v>
      </c>
      <c r="O47">
        <v>1445443673.1106713</v>
      </c>
      <c r="P47">
        <v>353539323</v>
      </c>
      <c r="Q47">
        <v>194247879</v>
      </c>
      <c r="R47">
        <v>94484716</v>
      </c>
      <c r="S47">
        <v>155336870</v>
      </c>
      <c r="T47">
        <v>121383167</v>
      </c>
      <c r="U47">
        <v>67226215</v>
      </c>
      <c r="V47">
        <v>34312512</v>
      </c>
      <c r="W47">
        <v>87968818</v>
      </c>
      <c r="X47">
        <v>92176342</v>
      </c>
      <c r="Y47">
        <v>68794187</v>
      </c>
      <c r="Z47">
        <v>32814909</v>
      </c>
      <c r="AA47">
        <v>126160389</v>
      </c>
      <c r="AB47">
        <v>175123756</v>
      </c>
      <c r="AC47">
        <v>121045122</v>
      </c>
      <c r="AD47">
        <v>57122238</v>
      </c>
      <c r="AE47">
        <v>124384363</v>
      </c>
      <c r="AF47">
        <v>114378514</v>
      </c>
      <c r="AG47">
        <v>67952757</v>
      </c>
      <c r="AH47">
        <v>35477486</v>
      </c>
      <c r="AI47">
        <v>32263270</v>
      </c>
      <c r="AJ47">
        <v>43012276</v>
      </c>
      <c r="AK47">
        <v>8726532</v>
      </c>
      <c r="AL47">
        <v>-574500</v>
      </c>
      <c r="AM47">
        <v>386452</v>
      </c>
      <c r="AN47">
        <v>2478008</v>
      </c>
      <c r="AO47">
        <v>-260145</v>
      </c>
      <c r="AP47">
        <v>-73991</v>
      </c>
    </row>
    <row r="48" spans="1:42" ht="15.6" x14ac:dyDescent="0.3">
      <c r="A48" t="s">
        <v>165</v>
      </c>
      <c r="B48">
        <v>564892240</v>
      </c>
      <c r="C48">
        <v>4019146681.1090336</v>
      </c>
      <c r="D48">
        <v>2767437586.2692308</v>
      </c>
      <c r="E48">
        <v>1669019153.3362556</v>
      </c>
      <c r="F48">
        <v>522021136</v>
      </c>
      <c r="G48">
        <v>2891154006.3267393</v>
      </c>
      <c r="H48">
        <v>3526364768.9051499</v>
      </c>
      <c r="I48">
        <v>2515042340.0998092</v>
      </c>
      <c r="J48">
        <v>1312414292.7624748</v>
      </c>
      <c r="K48">
        <v>11430674953.05892</v>
      </c>
      <c r="L48">
        <v>7007166066.7875996</v>
      </c>
      <c r="M48">
        <v>5774538361.0416203</v>
      </c>
      <c r="N48">
        <v>2899842842.7168574</v>
      </c>
      <c r="O48">
        <v>11607344427.586145</v>
      </c>
      <c r="P48">
        <v>3912756492</v>
      </c>
      <c r="Q48">
        <v>2458473658</v>
      </c>
      <c r="R48">
        <v>1175761255</v>
      </c>
      <c r="S48">
        <v>1679749785</v>
      </c>
      <c r="T48">
        <v>813268257</v>
      </c>
      <c r="U48">
        <v>487931402</v>
      </c>
      <c r="V48">
        <v>207590775</v>
      </c>
      <c r="W48">
        <v>470035971</v>
      </c>
      <c r="X48">
        <v>355463032</v>
      </c>
      <c r="Y48">
        <v>222307057</v>
      </c>
      <c r="Z48">
        <v>74390951</v>
      </c>
      <c r="AA48">
        <v>329182900</v>
      </c>
      <c r="AB48">
        <v>174460003</v>
      </c>
      <c r="AC48">
        <v>107584230</v>
      </c>
      <c r="AD48">
        <v>50917330</v>
      </c>
      <c r="AE48">
        <v>26094071</v>
      </c>
      <c r="AF48">
        <v>15614338</v>
      </c>
      <c r="AG48">
        <v>16748463</v>
      </c>
      <c r="AH48">
        <v>12832241</v>
      </c>
      <c r="AI48">
        <v>357310764</v>
      </c>
      <c r="AJ48">
        <v>76114051</v>
      </c>
      <c r="AK48">
        <v>-87808022</v>
      </c>
      <c r="AL48">
        <v>-83141888</v>
      </c>
      <c r="AM48">
        <v>-363242861</v>
      </c>
      <c r="AN48">
        <v>-84845207</v>
      </c>
      <c r="AO48">
        <v>-10292309</v>
      </c>
      <c r="AP48">
        <v>10748215</v>
      </c>
    </row>
    <row r="49" spans="1:42" ht="15.6" x14ac:dyDescent="0.3"/>
    <row r="50" spans="1:42" ht="15.6" x14ac:dyDescent="0.3">
      <c r="A50" t="s">
        <v>166</v>
      </c>
      <c r="B50">
        <v>977320046</v>
      </c>
      <c r="C50">
        <v>3617256231.0864263</v>
      </c>
      <c r="D50">
        <v>2651087822.701849</v>
      </c>
      <c r="E50">
        <v>1802117038.5383873</v>
      </c>
      <c r="F50">
        <v>869508158</v>
      </c>
      <c r="G50">
        <v>2903158416.8448009</v>
      </c>
      <c r="H50">
        <v>2386969419.0641179</v>
      </c>
      <c r="I50">
        <v>1664352241.5921037</v>
      </c>
      <c r="J50">
        <v>864821151.38675797</v>
      </c>
      <c r="K50">
        <v>3217036000.57477</v>
      </c>
      <c r="L50">
        <v>2347445841.5284228</v>
      </c>
      <c r="M50">
        <v>1660556712.3630509</v>
      </c>
      <c r="N50">
        <v>853611876.28917444</v>
      </c>
      <c r="O50">
        <v>4981127582.4918518</v>
      </c>
      <c r="P50">
        <v>1048473268</v>
      </c>
      <c r="Q50">
        <v>592264926</v>
      </c>
      <c r="R50">
        <v>262850016</v>
      </c>
      <c r="S50">
        <v>567944040</v>
      </c>
      <c r="T50">
        <v>398910311</v>
      </c>
      <c r="U50">
        <v>258436157</v>
      </c>
      <c r="V50">
        <v>122515065</v>
      </c>
      <c r="W50">
        <v>465598364</v>
      </c>
      <c r="X50">
        <v>341401685</v>
      </c>
      <c r="Y50">
        <v>221494993</v>
      </c>
      <c r="Z50">
        <v>109068725</v>
      </c>
      <c r="AA50">
        <v>485469510</v>
      </c>
      <c r="AB50">
        <v>357477704</v>
      </c>
      <c r="AC50">
        <v>229365177</v>
      </c>
      <c r="AD50">
        <v>112652450</v>
      </c>
      <c r="AE50">
        <v>394018340</v>
      </c>
      <c r="AF50">
        <v>309967096</v>
      </c>
      <c r="AG50">
        <v>195700706</v>
      </c>
      <c r="AH50">
        <v>90998271</v>
      </c>
      <c r="AI50">
        <v>225000266</v>
      </c>
      <c r="AJ50">
        <v>163368235</v>
      </c>
      <c r="AK50">
        <v>103691057</v>
      </c>
      <c r="AL50">
        <v>43393282</v>
      </c>
      <c r="AM50">
        <v>185212649</v>
      </c>
      <c r="AN50">
        <v>140723726</v>
      </c>
      <c r="AO50">
        <v>86953923</v>
      </c>
      <c r="AP50">
        <v>42592401</v>
      </c>
    </row>
  </sheetData>
  <pageMargins left="0.7" right="0.7" top="0.75" bottom="0.75" header="0.3" footer="0.3"/>
  <ignoredErrors>
    <ignoredError sqref="A1:AP5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52"/>
  <sheetViews>
    <sheetView topLeftCell="A43" workbookViewId="0">
      <selection activeCell="B48" sqref="B48:E48"/>
    </sheetView>
  </sheetViews>
  <sheetFormatPr defaultRowHeight="14.4" outlineLevelCol="2" x14ac:dyDescent="0.3"/>
  <cols>
    <col min="1" max="1" width="40" customWidth="1" outlineLevel="2"/>
    <col min="2" max="42" width="20" customWidth="1"/>
  </cols>
  <sheetData>
    <row r="1" spans="1:4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124</v>
      </c>
    </row>
    <row r="2" spans="1:42" ht="15.6" x14ac:dyDescent="0.3">
      <c r="A2" t="s">
        <v>125</v>
      </c>
    </row>
    <row r="3" spans="1:42" ht="15.6" x14ac:dyDescent="0.3">
      <c r="A3" t="s">
        <v>126</v>
      </c>
      <c r="B3">
        <v>9953957768</v>
      </c>
      <c r="C3">
        <v>10918236083.02005</v>
      </c>
      <c r="D3">
        <v>10946253876.08746</v>
      </c>
      <c r="E3">
        <v>12174938138.120548</v>
      </c>
      <c r="F3">
        <v>12602306074</v>
      </c>
      <c r="G3">
        <v>12458267678.610764</v>
      </c>
      <c r="H3">
        <v>12550409525.08419</v>
      </c>
      <c r="I3">
        <v>9968581477.2876263</v>
      </c>
      <c r="J3">
        <v>10593475326.942041</v>
      </c>
      <c r="K3">
        <v>14092607432.090691</v>
      </c>
      <c r="L3">
        <v>17441850887.887383</v>
      </c>
      <c r="M3">
        <v>15711567467.585953</v>
      </c>
      <c r="N3">
        <v>25898319102.412766</v>
      </c>
      <c r="P3">
        <v>15161474658</v>
      </c>
      <c r="Q3">
        <v>12676107518</v>
      </c>
      <c r="R3">
        <v>5892108791</v>
      </c>
      <c r="S3">
        <v>5564576175</v>
      </c>
      <c r="T3">
        <v>3558590184</v>
      </c>
      <c r="U3">
        <v>2620149016</v>
      </c>
      <c r="V3">
        <v>2144181219</v>
      </c>
      <c r="W3">
        <v>1962649816</v>
      </c>
      <c r="X3">
        <v>1800984479</v>
      </c>
      <c r="Y3">
        <v>1620078684</v>
      </c>
      <c r="Z3">
        <v>1846833556</v>
      </c>
      <c r="AA3">
        <v>1778708651</v>
      </c>
      <c r="AB3">
        <v>1486920923</v>
      </c>
      <c r="AC3">
        <v>1157543009</v>
      </c>
      <c r="AD3">
        <v>1155422198</v>
      </c>
      <c r="AE3">
        <v>1182744645</v>
      </c>
      <c r="AF3">
        <v>1428214991</v>
      </c>
      <c r="AG3">
        <v>1036169391</v>
      </c>
      <c r="AH3">
        <v>1022120075</v>
      </c>
      <c r="AI3">
        <v>1033932369</v>
      </c>
      <c r="AJ3">
        <v>952382175</v>
      </c>
      <c r="AK3">
        <v>874600690</v>
      </c>
      <c r="AL3">
        <v>738396634</v>
      </c>
      <c r="AM3">
        <v>966065425</v>
      </c>
      <c r="AN3">
        <v>909992008</v>
      </c>
      <c r="AO3">
        <v>576135420</v>
      </c>
      <c r="AP3">
        <v>726008987</v>
      </c>
    </row>
    <row r="4" spans="1:42" ht="15.6" x14ac:dyDescent="0.3">
      <c r="A4" t="s">
        <v>127</v>
      </c>
    </row>
    <row r="5" spans="1:42" ht="15.6" x14ac:dyDescent="0.3">
      <c r="A5" t="s">
        <v>128</v>
      </c>
      <c r="B5">
        <v>5057871846</v>
      </c>
      <c r="D5">
        <v>7387646632.52108</v>
      </c>
      <c r="E5">
        <v>8529390819.5123177</v>
      </c>
      <c r="F5">
        <v>9188730145</v>
      </c>
      <c r="G5">
        <v>7361005109.4060059</v>
      </c>
      <c r="H5">
        <v>9810242756.3789787</v>
      </c>
      <c r="I5">
        <v>7144921612.9384022</v>
      </c>
      <c r="J5">
        <v>6689407690.7431087</v>
      </c>
      <c r="K5">
        <v>10147009719.530357</v>
      </c>
      <c r="L5">
        <v>13181499555.91399</v>
      </c>
      <c r="M5">
        <v>13269135545.598995</v>
      </c>
      <c r="N5">
        <v>20139153065.615105</v>
      </c>
      <c r="P5">
        <v>13845505408</v>
      </c>
      <c r="Q5">
        <v>11553259143</v>
      </c>
      <c r="R5">
        <v>5023098055</v>
      </c>
      <c r="S5">
        <v>4981721684</v>
      </c>
    </row>
    <row r="6" spans="1:42" ht="15.6" x14ac:dyDescent="0.3">
      <c r="A6" t="s">
        <v>129</v>
      </c>
      <c r="B6">
        <v>4896085922</v>
      </c>
      <c r="D6">
        <v>3558607243.5663795</v>
      </c>
      <c r="E6">
        <v>3645547318.6082325</v>
      </c>
      <c r="F6">
        <v>3413575929</v>
      </c>
      <c r="G6">
        <v>3196162479.6352749</v>
      </c>
      <c r="H6">
        <v>2740166768.7052078</v>
      </c>
      <c r="I6">
        <v>3423850329.545095</v>
      </c>
      <c r="J6">
        <v>3303877171.0030618</v>
      </c>
      <c r="K6">
        <v>3945597712.5603466</v>
      </c>
      <c r="L6">
        <v>4260351331.9733934</v>
      </c>
      <c r="M6">
        <v>4449312737.548914</v>
      </c>
      <c r="N6">
        <v>3752285221.2356977</v>
      </c>
      <c r="P6">
        <v>1315969250</v>
      </c>
      <c r="Q6">
        <v>1122848375</v>
      </c>
      <c r="R6">
        <v>869010736</v>
      </c>
      <c r="S6">
        <v>582854491</v>
      </c>
    </row>
    <row r="7" spans="1:42" ht="15.6" x14ac:dyDescent="0.3">
      <c r="A7" t="s">
        <v>130</v>
      </c>
      <c r="B7">
        <v>-7213017230</v>
      </c>
      <c r="C7">
        <v>-8191158061.9560089</v>
      </c>
      <c r="D7">
        <v>-7752889726.7246513</v>
      </c>
      <c r="E7">
        <v>-9482659685.8774223</v>
      </c>
      <c r="F7">
        <v>-9611373381</v>
      </c>
      <c r="G7">
        <v>-9424085941.8830872</v>
      </c>
      <c r="H7">
        <v>-10104166292.194841</v>
      </c>
      <c r="I7">
        <v>-7612172962.6342754</v>
      </c>
      <c r="J7">
        <v>-8797045844.3535004</v>
      </c>
      <c r="K7">
        <v>-11674615056.471603</v>
      </c>
      <c r="L7">
        <v>-13537780378.900703</v>
      </c>
      <c r="M7">
        <v>-11878872101.882248</v>
      </c>
      <c r="N7">
        <v>-21047902855.362206</v>
      </c>
      <c r="P7">
        <v>-13559926222</v>
      </c>
      <c r="Q7">
        <v>-11250397292</v>
      </c>
      <c r="R7">
        <v>-4465390180</v>
      </c>
      <c r="S7">
        <v>-4945469789</v>
      </c>
      <c r="T7">
        <v>-3003949219</v>
      </c>
      <c r="U7">
        <v>-2111561482</v>
      </c>
      <c r="V7">
        <v>-1747786565</v>
      </c>
      <c r="W7">
        <v>-1650375314</v>
      </c>
      <c r="X7">
        <v>-1493441145</v>
      </c>
      <c r="Y7">
        <v>-1340851751</v>
      </c>
      <c r="Z7">
        <v>-1548287888</v>
      </c>
      <c r="AA7">
        <v>-1566900471</v>
      </c>
      <c r="AB7">
        <v>-1246456768</v>
      </c>
      <c r="AC7">
        <v>-857615483</v>
      </c>
      <c r="AD7">
        <v>-892164845</v>
      </c>
      <c r="AE7">
        <v>-946894237</v>
      </c>
      <c r="AF7">
        <v>-1215143122</v>
      </c>
      <c r="AG7">
        <v>-888568766</v>
      </c>
      <c r="AH7">
        <v>-883103228</v>
      </c>
      <c r="AI7">
        <v>-930770463</v>
      </c>
      <c r="AJ7">
        <v>-817358061</v>
      </c>
      <c r="AK7">
        <v>-822584368</v>
      </c>
      <c r="AL7">
        <v>-713269776</v>
      </c>
      <c r="AM7">
        <v>-912275315</v>
      </c>
      <c r="AN7">
        <v>-832876643</v>
      </c>
      <c r="AO7">
        <v>-503975328</v>
      </c>
      <c r="AP7">
        <v>-652070866</v>
      </c>
    </row>
    <row r="8" spans="1:42" ht="15.6" x14ac:dyDescent="0.3">
      <c r="A8" t="s">
        <v>131</v>
      </c>
      <c r="B8">
        <v>2740940538</v>
      </c>
      <c r="C8">
        <v>2727078021.0640411</v>
      </c>
      <c r="D8">
        <v>3193364149.3628111</v>
      </c>
      <c r="E8">
        <v>2692278452.243125</v>
      </c>
      <c r="F8">
        <v>2990932693</v>
      </c>
      <c r="G8">
        <v>3034181736.727685</v>
      </c>
      <c r="H8">
        <v>2446243232.8893433</v>
      </c>
      <c r="I8">
        <v>2356408514.6533489</v>
      </c>
      <c r="J8">
        <v>1796429482.5885439</v>
      </c>
      <c r="K8">
        <v>2417992375.6190968</v>
      </c>
      <c r="L8">
        <v>3904070508.9866791</v>
      </c>
      <c r="M8">
        <v>3832695365.7036943</v>
      </c>
      <c r="N8">
        <v>4850416247.0505629</v>
      </c>
      <c r="P8">
        <v>1601548436</v>
      </c>
      <c r="Q8">
        <v>1425710226</v>
      </c>
      <c r="R8">
        <v>1426718611</v>
      </c>
      <c r="S8">
        <v>619106386</v>
      </c>
      <c r="T8">
        <v>554640965</v>
      </c>
      <c r="U8">
        <v>508587534</v>
      </c>
      <c r="V8">
        <v>396394654</v>
      </c>
      <c r="W8">
        <v>312274502</v>
      </c>
      <c r="X8">
        <v>307543334</v>
      </c>
      <c r="Y8">
        <v>279226933</v>
      </c>
      <c r="Z8">
        <v>298545668</v>
      </c>
      <c r="AA8">
        <v>211808180</v>
      </c>
      <c r="AB8">
        <v>240464155</v>
      </c>
      <c r="AC8">
        <v>299927526</v>
      </c>
      <c r="AD8">
        <v>263257353</v>
      </c>
      <c r="AE8">
        <v>235850408</v>
      </c>
      <c r="AF8">
        <v>213071869</v>
      </c>
      <c r="AG8">
        <v>147600625</v>
      </c>
      <c r="AH8">
        <v>139016847</v>
      </c>
      <c r="AI8">
        <v>103161906</v>
      </c>
      <c r="AJ8">
        <v>135024114</v>
      </c>
      <c r="AK8">
        <v>52016322</v>
      </c>
      <c r="AL8">
        <v>25126858</v>
      </c>
      <c r="AM8">
        <v>53790110</v>
      </c>
      <c r="AN8">
        <v>77115365</v>
      </c>
      <c r="AO8">
        <v>72160092</v>
      </c>
      <c r="AP8">
        <v>73938121</v>
      </c>
    </row>
    <row r="9" spans="1:42" ht="15.6" x14ac:dyDescent="0.3">
      <c r="A9" t="s">
        <v>132</v>
      </c>
    </row>
    <row r="10" spans="1:42" ht="15.6" x14ac:dyDescent="0.3">
      <c r="A10" t="s">
        <v>133</v>
      </c>
    </row>
    <row r="11" spans="1:42" ht="15.6" x14ac:dyDescent="0.3">
      <c r="A11" t="s">
        <v>134</v>
      </c>
    </row>
    <row r="12" spans="1:42" ht="15.6" x14ac:dyDescent="0.3">
      <c r="A12" t="s">
        <v>135</v>
      </c>
    </row>
    <row r="13" spans="1:42" ht="15.6" x14ac:dyDescent="0.3">
      <c r="A13" t="s">
        <v>136</v>
      </c>
      <c r="B13">
        <v>2740940538</v>
      </c>
      <c r="C13">
        <v>2727078021.0640411</v>
      </c>
      <c r="D13">
        <v>3193364149.3628111</v>
      </c>
      <c r="E13">
        <v>2692278452.243125</v>
      </c>
      <c r="F13">
        <v>2990932693</v>
      </c>
      <c r="G13">
        <v>3034181736.727685</v>
      </c>
      <c r="H13">
        <v>2446243232.8893433</v>
      </c>
      <c r="I13">
        <v>2356408514.6533489</v>
      </c>
      <c r="J13">
        <v>1796429482.5885439</v>
      </c>
      <c r="K13">
        <v>2417992375.6190968</v>
      </c>
      <c r="L13">
        <v>3904070508.9866791</v>
      </c>
      <c r="M13">
        <v>3832695365.7036943</v>
      </c>
      <c r="N13">
        <v>4850416247.0505629</v>
      </c>
      <c r="P13">
        <v>1601548436</v>
      </c>
      <c r="Q13">
        <v>1425710226</v>
      </c>
      <c r="R13">
        <v>1426718611</v>
      </c>
      <c r="S13">
        <v>619106386</v>
      </c>
      <c r="T13">
        <v>554640965</v>
      </c>
      <c r="U13">
        <v>508587534</v>
      </c>
      <c r="V13">
        <v>396394654</v>
      </c>
      <c r="W13">
        <v>312274502</v>
      </c>
      <c r="X13">
        <v>307543334</v>
      </c>
      <c r="Y13">
        <v>279226933</v>
      </c>
      <c r="Z13">
        <v>298545668</v>
      </c>
      <c r="AA13">
        <v>211808180</v>
      </c>
      <c r="AB13">
        <v>240464155</v>
      </c>
      <c r="AC13">
        <v>299927526</v>
      </c>
      <c r="AD13">
        <v>263257353</v>
      </c>
      <c r="AE13">
        <v>235850408</v>
      </c>
      <c r="AF13">
        <v>213071869</v>
      </c>
      <c r="AG13">
        <v>147600625</v>
      </c>
      <c r="AH13">
        <v>139016847</v>
      </c>
      <c r="AI13">
        <v>103161906</v>
      </c>
      <c r="AJ13">
        <v>135024114</v>
      </c>
      <c r="AK13">
        <v>52016322</v>
      </c>
      <c r="AL13">
        <v>25126858</v>
      </c>
      <c r="AM13">
        <v>53790110</v>
      </c>
      <c r="AN13">
        <v>77115365</v>
      </c>
      <c r="AO13">
        <v>72160092</v>
      </c>
      <c r="AP13">
        <v>73938121</v>
      </c>
    </row>
    <row r="14" spans="1:42" ht="15.6" x14ac:dyDescent="0.3"/>
    <row r="15" spans="1:42" ht="15.6" x14ac:dyDescent="0.3">
      <c r="A15" t="s">
        <v>137</v>
      </c>
      <c r="B15">
        <v>-477931333</v>
      </c>
      <c r="C15">
        <v>-486434404.44301176</v>
      </c>
      <c r="D15">
        <v>-481901863.42551553</v>
      </c>
      <c r="E15">
        <v>-507821412.5132767</v>
      </c>
      <c r="F15">
        <v>-451664817</v>
      </c>
      <c r="G15">
        <v>-612350932.93690825</v>
      </c>
      <c r="H15">
        <v>-523307740.10994411</v>
      </c>
      <c r="I15">
        <v>-500023185.04189748</v>
      </c>
      <c r="J15">
        <v>-506062452.02882987</v>
      </c>
      <c r="K15">
        <v>-399538495.65087771</v>
      </c>
      <c r="L15">
        <v>-441448732.09780979</v>
      </c>
      <c r="M15">
        <v>-421119574.5994333</v>
      </c>
      <c r="N15">
        <v>-372601526.53286135</v>
      </c>
      <c r="P15">
        <v>-76837586</v>
      </c>
      <c r="Q15">
        <v>-64112918</v>
      </c>
      <c r="R15">
        <v>-52198913</v>
      </c>
      <c r="S15">
        <v>-77214523</v>
      </c>
      <c r="T15">
        <v>-39897132</v>
      </c>
      <c r="U15">
        <v>-22115564</v>
      </c>
      <c r="V15">
        <v>-25325605</v>
      </c>
      <c r="W15">
        <v>-33863077</v>
      </c>
      <c r="X15">
        <v>-24385719</v>
      </c>
      <c r="Y15">
        <v>-33802924</v>
      </c>
      <c r="Z15">
        <v>-25360897</v>
      </c>
      <c r="AA15">
        <v>-21056238</v>
      </c>
      <c r="AB15">
        <v>-27939089</v>
      </c>
      <c r="AC15">
        <v>-23341996</v>
      </c>
      <c r="AD15">
        <v>-23268831</v>
      </c>
      <c r="AE15">
        <v>-26202550</v>
      </c>
      <c r="AF15">
        <v>-16152677</v>
      </c>
      <c r="AG15">
        <v>-14775357</v>
      </c>
      <c r="AH15">
        <v>-11109027</v>
      </c>
      <c r="AI15">
        <v>-11150533</v>
      </c>
      <c r="AJ15">
        <v>-13225962</v>
      </c>
      <c r="AK15">
        <v>-17956990</v>
      </c>
      <c r="AL15">
        <v>-12714483</v>
      </c>
      <c r="AM15">
        <v>-4829570</v>
      </c>
      <c r="AN15">
        <v>-9729743</v>
      </c>
      <c r="AO15">
        <v>-7644299</v>
      </c>
      <c r="AP15">
        <v>-7813879</v>
      </c>
    </row>
    <row r="16" spans="1:42" ht="15.6" x14ac:dyDescent="0.3">
      <c r="A16" t="s">
        <v>138</v>
      </c>
      <c r="B16">
        <v>-7964143</v>
      </c>
      <c r="C16">
        <v>15868901.060570382</v>
      </c>
      <c r="D16">
        <v>-23843667.629185673</v>
      </c>
      <c r="E16">
        <v>-15667523.319989014</v>
      </c>
      <c r="F16">
        <v>-15531433</v>
      </c>
      <c r="G16">
        <v>35342333.097875014</v>
      </c>
      <c r="H16">
        <v>-20339176.827071488</v>
      </c>
      <c r="I16">
        <v>-49656013.202137813</v>
      </c>
      <c r="J16">
        <v>-22561783.540037736</v>
      </c>
      <c r="K16">
        <v>-14796474.601173609</v>
      </c>
      <c r="L16">
        <v>-17636811.316643365</v>
      </c>
      <c r="M16">
        <v>-6935720.7331554089</v>
      </c>
      <c r="N16">
        <v>-9385982.0529817324</v>
      </c>
      <c r="P16">
        <v>-4488756</v>
      </c>
      <c r="Q16">
        <v>-3143764</v>
      </c>
      <c r="R16">
        <v>-525004</v>
      </c>
      <c r="S16">
        <v>-4245468</v>
      </c>
      <c r="T16">
        <v>-2180707</v>
      </c>
      <c r="U16">
        <v>-989333</v>
      </c>
      <c r="V16">
        <v>-1128095</v>
      </c>
      <c r="W16">
        <v>-5716736</v>
      </c>
      <c r="X16">
        <v>-3075909</v>
      </c>
      <c r="Y16">
        <v>-155448</v>
      </c>
      <c r="Z16">
        <v>-674548</v>
      </c>
      <c r="AA16">
        <v>-334431</v>
      </c>
      <c r="AB16">
        <v>-241798</v>
      </c>
      <c r="AC16">
        <v>-281866</v>
      </c>
      <c r="AD16">
        <v>-663209</v>
      </c>
      <c r="AE16">
        <v>-299145</v>
      </c>
      <c r="AF16">
        <v>-596310</v>
      </c>
      <c r="AG16">
        <v>-266361</v>
      </c>
      <c r="AH16">
        <v>-209160</v>
      </c>
      <c r="AI16">
        <v>-350689</v>
      </c>
      <c r="AJ16">
        <v>-255611</v>
      </c>
      <c r="AK16">
        <v>-278313</v>
      </c>
      <c r="AL16">
        <v>-373771</v>
      </c>
      <c r="AM16">
        <v>-344128</v>
      </c>
      <c r="AN16">
        <v>-162572</v>
      </c>
      <c r="AO16">
        <v>-248704</v>
      </c>
      <c r="AP16">
        <v>-84092</v>
      </c>
    </row>
    <row r="17" spans="1:42" ht="15.6" x14ac:dyDescent="0.3">
      <c r="A17" t="s">
        <v>139</v>
      </c>
    </row>
    <row r="18" spans="1:42" ht="15.6" x14ac:dyDescent="0.3">
      <c r="A18" t="s">
        <v>140</v>
      </c>
      <c r="B18">
        <v>183277892</v>
      </c>
      <c r="C18">
        <v>347914461.83252585</v>
      </c>
      <c r="D18">
        <v>212664818.04205656</v>
      </c>
      <c r="E18">
        <v>391105742.01619327</v>
      </c>
      <c r="F18">
        <v>158277142</v>
      </c>
      <c r="G18">
        <v>-181238116.18445969</v>
      </c>
      <c r="H18">
        <v>190866925.02002209</v>
      </c>
      <c r="I18">
        <v>1698019.0515074134</v>
      </c>
      <c r="J18">
        <v>529972091.67676723</v>
      </c>
      <c r="K18">
        <v>573710549.40692246</v>
      </c>
      <c r="L18">
        <v>35076256.863764942</v>
      </c>
      <c r="M18">
        <v>148610829.27019048</v>
      </c>
      <c r="N18">
        <v>230912836.91539222</v>
      </c>
      <c r="P18">
        <v>38977726</v>
      </c>
      <c r="Q18">
        <v>89547826</v>
      </c>
      <c r="R18">
        <v>15735520</v>
      </c>
      <c r="S18">
        <v>214351377</v>
      </c>
      <c r="T18">
        <v>131404</v>
      </c>
      <c r="U18">
        <v>3904840</v>
      </c>
      <c r="V18">
        <v>7961346</v>
      </c>
      <c r="W18">
        <v>7816295</v>
      </c>
      <c r="X18">
        <v>1921667</v>
      </c>
      <c r="Y18">
        <v>3878489</v>
      </c>
      <c r="Z18">
        <v>466058</v>
      </c>
      <c r="AA18">
        <v>38838614</v>
      </c>
      <c r="AB18">
        <v>16875651</v>
      </c>
      <c r="AC18">
        <v>9990165</v>
      </c>
      <c r="AD18">
        <v>1502388</v>
      </c>
      <c r="AE18">
        <v>9648748</v>
      </c>
      <c r="AF18">
        <v>6891413</v>
      </c>
      <c r="AG18">
        <v>1001927</v>
      </c>
      <c r="AH18">
        <v>715611</v>
      </c>
      <c r="AI18">
        <v>13905061</v>
      </c>
      <c r="AJ18">
        <v>-5425684</v>
      </c>
      <c r="AK18">
        <v>3642000</v>
      </c>
      <c r="AL18">
        <v>12603664</v>
      </c>
      <c r="AM18">
        <v>4780378</v>
      </c>
      <c r="AN18">
        <v>3040201</v>
      </c>
      <c r="AO18">
        <v>-1596689</v>
      </c>
      <c r="AP18">
        <v>6581486</v>
      </c>
    </row>
    <row r="19" spans="1:42" ht="15.6" x14ac:dyDescent="0.3">
      <c r="A19" t="s">
        <v>141</v>
      </c>
      <c r="B19">
        <v>-93948527</v>
      </c>
      <c r="C19">
        <v>-82567439.083346099</v>
      </c>
      <c r="D19">
        <v>-34638190.086656526</v>
      </c>
      <c r="E19">
        <v>-23503456.880699322</v>
      </c>
      <c r="F19">
        <v>-48006992</v>
      </c>
      <c r="G19">
        <v>8931636.5684740245</v>
      </c>
      <c r="H19">
        <v>-109103620.4202536</v>
      </c>
      <c r="I19">
        <v>-27328606.57091409</v>
      </c>
      <c r="J19">
        <v>-52922874.385196209</v>
      </c>
      <c r="K19">
        <v>-48668370.758775741</v>
      </c>
      <c r="L19">
        <v>-18936682.311610818</v>
      </c>
      <c r="M19">
        <v>-15646018.192809016</v>
      </c>
      <c r="N19">
        <v>-128807021.48805887</v>
      </c>
      <c r="P19">
        <v>-33088216</v>
      </c>
      <c r="Q19">
        <v>-15320602</v>
      </c>
      <c r="R19">
        <v>-70542354</v>
      </c>
      <c r="S19">
        <v>-44837181</v>
      </c>
      <c r="T19">
        <v>-11579872</v>
      </c>
      <c r="U19">
        <v>-9229970</v>
      </c>
      <c r="V19">
        <v>-7201927</v>
      </c>
      <c r="W19">
        <v>-6602766</v>
      </c>
      <c r="X19">
        <v>-18852239</v>
      </c>
      <c r="Y19">
        <v>-11390358</v>
      </c>
      <c r="Z19">
        <v>-5320013</v>
      </c>
      <c r="AA19">
        <v>-1260571</v>
      </c>
      <c r="AB19">
        <v>-4172125</v>
      </c>
      <c r="AC19">
        <v>-1453007</v>
      </c>
      <c r="AD19">
        <v>-2641310</v>
      </c>
      <c r="AE19">
        <v>-14593056</v>
      </c>
      <c r="AF19">
        <v>-11924322</v>
      </c>
      <c r="AG19">
        <v>-5250397</v>
      </c>
      <c r="AH19">
        <v>-2095163</v>
      </c>
      <c r="AI19">
        <v>1214932</v>
      </c>
      <c r="AJ19">
        <v>-1323611</v>
      </c>
      <c r="AK19">
        <v>-2093377</v>
      </c>
      <c r="AL19">
        <v>-6368479</v>
      </c>
      <c r="AM19">
        <v>-4157469</v>
      </c>
      <c r="AN19">
        <v>-2114479</v>
      </c>
      <c r="AO19">
        <v>-1310534</v>
      </c>
      <c r="AP19">
        <v>-1715161</v>
      </c>
    </row>
    <row r="20" spans="1:42" ht="15.6" x14ac:dyDescent="0.3">
      <c r="A20" t="s">
        <v>142</v>
      </c>
    </row>
    <row r="21" spans="1:42" ht="15.6" x14ac:dyDescent="0.3">
      <c r="A21" t="s">
        <v>143</v>
      </c>
      <c r="B21">
        <v>2344374427</v>
      </c>
      <c r="C21">
        <v>2521859540.4307785</v>
      </c>
      <c r="D21">
        <v>2865645246.2635088</v>
      </c>
      <c r="E21">
        <v>2536391801.5453539</v>
      </c>
      <c r="F21">
        <v>2634006593</v>
      </c>
      <c r="G21">
        <v>2284866657.2726669</v>
      </c>
      <c r="H21">
        <v>1984359620.5520954</v>
      </c>
      <c r="I21">
        <v>1781098728.8899074</v>
      </c>
      <c r="J21">
        <v>1744854464.3112473</v>
      </c>
      <c r="K21">
        <v>2528699584.0151939</v>
      </c>
      <c r="L21">
        <v>3461124540.1243801</v>
      </c>
      <c r="M21">
        <v>3537604881.4484873</v>
      </c>
      <c r="N21">
        <v>4570534553.8920527</v>
      </c>
      <c r="P21">
        <v>1526111604</v>
      </c>
      <c r="Q21">
        <v>1432680768</v>
      </c>
      <c r="R21">
        <v>1319187860</v>
      </c>
      <c r="S21">
        <v>707160591</v>
      </c>
      <c r="T21">
        <v>501114658</v>
      </c>
      <c r="U21">
        <v>480157507</v>
      </c>
      <c r="V21">
        <v>370700373</v>
      </c>
      <c r="W21">
        <v>273908218</v>
      </c>
      <c r="X21">
        <v>263151134</v>
      </c>
      <c r="Y21">
        <v>237756692</v>
      </c>
      <c r="Z21">
        <v>267656268</v>
      </c>
      <c r="AA21">
        <v>227995554</v>
      </c>
      <c r="AB21">
        <v>224986794</v>
      </c>
      <c r="AC21">
        <v>284840822</v>
      </c>
      <c r="AD21">
        <v>238186391</v>
      </c>
      <c r="AE21">
        <v>204404405</v>
      </c>
      <c r="AF21">
        <v>191289973</v>
      </c>
      <c r="AG21">
        <v>128310437</v>
      </c>
      <c r="AH21">
        <v>126319108</v>
      </c>
      <c r="AI21">
        <v>106780677</v>
      </c>
      <c r="AJ21">
        <v>114793246</v>
      </c>
      <c r="AK21">
        <v>35329642</v>
      </c>
      <c r="AL21">
        <v>18273789</v>
      </c>
      <c r="AM21">
        <v>49239321</v>
      </c>
      <c r="AN21">
        <v>68148772</v>
      </c>
      <c r="AO21">
        <v>61359866</v>
      </c>
      <c r="AP21">
        <v>70906475</v>
      </c>
    </row>
    <row r="22" spans="1:42" ht="15.6" x14ac:dyDescent="0.3"/>
    <row r="23" spans="1:42" ht="15.6" x14ac:dyDescent="0.3">
      <c r="A23" t="s">
        <v>144</v>
      </c>
    </row>
    <row r="24" spans="1:42" ht="15.6" x14ac:dyDescent="0.3">
      <c r="A24" t="s">
        <v>145</v>
      </c>
    </row>
    <row r="25" spans="1:42" ht="15.6" x14ac:dyDescent="0.3">
      <c r="A25" t="s">
        <v>146</v>
      </c>
      <c r="B25">
        <v>2602</v>
      </c>
      <c r="C25">
        <v>917499005.88917315</v>
      </c>
      <c r="D25">
        <v>-21.313283702067565</v>
      </c>
      <c r="E25">
        <v>8.3507983283489011</v>
      </c>
      <c r="F25">
        <v>521472</v>
      </c>
      <c r="G25">
        <v>-28233484.62158376</v>
      </c>
      <c r="H25">
        <v>533368008.89216006</v>
      </c>
      <c r="I25">
        <v>2515858.0730228564</v>
      </c>
      <c r="J25">
        <v>60147.258782249999</v>
      </c>
      <c r="K25">
        <v>21413739.522224188</v>
      </c>
      <c r="L25">
        <v>-36826844.220423609</v>
      </c>
      <c r="M25">
        <v>25467024.959474653</v>
      </c>
      <c r="N25">
        <v>150280130.11600962</v>
      </c>
      <c r="P25">
        <v>1838631</v>
      </c>
      <c r="Q25">
        <v>5541351</v>
      </c>
      <c r="R25">
        <v>74194</v>
      </c>
      <c r="S25">
        <v>1984207</v>
      </c>
      <c r="T25">
        <v>0</v>
      </c>
      <c r="U25">
        <v>0</v>
      </c>
      <c r="V25">
        <v>0</v>
      </c>
      <c r="W25">
        <v>3046</v>
      </c>
      <c r="AA25">
        <v>151370</v>
      </c>
      <c r="AB25">
        <v>0</v>
      </c>
      <c r="AC25">
        <v>69579</v>
      </c>
      <c r="AD25">
        <v>412453</v>
      </c>
      <c r="AE25">
        <v>-6430</v>
      </c>
      <c r="AF25">
        <v>38119</v>
      </c>
      <c r="AG25">
        <v>12297</v>
      </c>
      <c r="AH25">
        <v>2596878</v>
      </c>
      <c r="AI25">
        <v>374637486</v>
      </c>
      <c r="AJ25">
        <v>137142880</v>
      </c>
      <c r="AK25">
        <v>57326057</v>
      </c>
      <c r="AL25">
        <v>22834127</v>
      </c>
      <c r="AM25">
        <v>3366689</v>
      </c>
      <c r="AN25">
        <v>392714</v>
      </c>
      <c r="AO25">
        <v>0</v>
      </c>
      <c r="AP25">
        <v>191196</v>
      </c>
    </row>
    <row r="26" spans="1:42" ht="15.6" x14ac:dyDescent="0.3">
      <c r="A26" t="s">
        <v>147</v>
      </c>
      <c r="C26">
        <v>1127189.8800671287</v>
      </c>
      <c r="G26">
        <v>-853587618.17680788</v>
      </c>
      <c r="AI26">
        <v>5505795</v>
      </c>
      <c r="AJ26">
        <v>-9555341</v>
      </c>
      <c r="AK26">
        <v>-110675</v>
      </c>
      <c r="AL26">
        <v>0</v>
      </c>
      <c r="AM26">
        <v>-87858897</v>
      </c>
      <c r="AN26">
        <v>0</v>
      </c>
      <c r="AO26">
        <v>-2362767</v>
      </c>
      <c r="AP26">
        <v>66628</v>
      </c>
    </row>
    <row r="27" spans="1:42" ht="15.6" x14ac:dyDescent="0.3">
      <c r="A27" t="s">
        <v>148</v>
      </c>
      <c r="B27">
        <v>-60440663</v>
      </c>
      <c r="C27">
        <v>106999298.02003896</v>
      </c>
      <c r="D27">
        <v>286544455.8654238</v>
      </c>
      <c r="E27">
        <v>159869886.17382514</v>
      </c>
      <c r="F27">
        <v>146514691</v>
      </c>
      <c r="G27">
        <v>-27681121.011662811</v>
      </c>
      <c r="H27">
        <v>167432921.75807625</v>
      </c>
      <c r="I27">
        <v>89010988.922306255</v>
      </c>
      <c r="J27">
        <v>-36976314.0370031</v>
      </c>
      <c r="K27">
        <v>65262983.252676129</v>
      </c>
      <c r="L27">
        <v>-143509351.25809503</v>
      </c>
      <c r="M27">
        <v>-354917576.02461106</v>
      </c>
      <c r="N27">
        <v>-451703839.29694861</v>
      </c>
      <c r="P27">
        <v>-7281669</v>
      </c>
      <c r="Q27">
        <v>51023716</v>
      </c>
      <c r="R27">
        <v>-74965028</v>
      </c>
      <c r="S27">
        <v>-9610126</v>
      </c>
      <c r="T27">
        <v>2529811</v>
      </c>
      <c r="U27">
        <v>-267945</v>
      </c>
      <c r="V27">
        <v>-10342693</v>
      </c>
      <c r="W27">
        <v>10270857</v>
      </c>
      <c r="X27">
        <v>-2546515</v>
      </c>
      <c r="Y27">
        <v>-13072579</v>
      </c>
      <c r="Z27">
        <v>-5256628</v>
      </c>
      <c r="AA27">
        <v>7775005</v>
      </c>
      <c r="AB27">
        <v>12693050</v>
      </c>
      <c r="AC27">
        <v>-15289723</v>
      </c>
      <c r="AD27">
        <v>-81854</v>
      </c>
      <c r="AE27">
        <v>-11211367</v>
      </c>
      <c r="AF27">
        <v>0</v>
      </c>
      <c r="AG27">
        <v>64698</v>
      </c>
      <c r="AH27">
        <v>-71778</v>
      </c>
    </row>
    <row r="28" spans="1:42" ht="15.6" x14ac:dyDescent="0.3">
      <c r="A28" t="s">
        <v>149</v>
      </c>
      <c r="Y28">
        <v>3289</v>
      </c>
      <c r="Z28">
        <v>72548</v>
      </c>
    </row>
    <row r="29" spans="1:42" ht="15.6" x14ac:dyDescent="0.3">
      <c r="A29" t="s">
        <v>150</v>
      </c>
    </row>
    <row r="30" spans="1:42" ht="15.6" x14ac:dyDescent="0.3">
      <c r="A30" t="s">
        <v>151</v>
      </c>
    </row>
    <row r="31" spans="1:42" ht="15.6" x14ac:dyDescent="0.3">
      <c r="A31" t="s">
        <v>152</v>
      </c>
    </row>
    <row r="32" spans="1:42" ht="15.6" x14ac:dyDescent="0.3">
      <c r="A32" t="s">
        <v>153</v>
      </c>
    </row>
    <row r="33" spans="1:42" ht="15.6" x14ac:dyDescent="0.3">
      <c r="A33" t="s">
        <v>154</v>
      </c>
      <c r="B33">
        <v>2283936366</v>
      </c>
      <c r="C33">
        <v>3547485034.2200584</v>
      </c>
      <c r="D33">
        <v>3146764430.6125031</v>
      </c>
      <c r="E33">
        <v>2696261696.0699768</v>
      </c>
      <c r="F33">
        <v>2781042756</v>
      </c>
      <c r="G33">
        <v>1375364433.4626122</v>
      </c>
      <c r="H33">
        <v>2685160551.202332</v>
      </c>
      <c r="I33">
        <v>1872625575.8852363</v>
      </c>
      <c r="J33">
        <v>1707938297.5330267</v>
      </c>
      <c r="K33">
        <v>2369047989.7317352</v>
      </c>
      <c r="L33">
        <v>3280788344.6458626</v>
      </c>
      <c r="M33">
        <v>3208154330.3833489</v>
      </c>
      <c r="N33">
        <v>4269110844.7111144</v>
      </c>
      <c r="P33">
        <v>1520668566</v>
      </c>
      <c r="Q33">
        <v>1489245835</v>
      </c>
      <c r="R33">
        <v>1244297026</v>
      </c>
      <c r="S33">
        <v>699534672</v>
      </c>
      <c r="T33">
        <v>503644469</v>
      </c>
      <c r="U33">
        <v>479889562</v>
      </c>
      <c r="V33">
        <v>360357680</v>
      </c>
      <c r="W33">
        <v>284182121</v>
      </c>
      <c r="X33">
        <v>260682140</v>
      </c>
      <c r="Y33">
        <v>224687402</v>
      </c>
      <c r="Z33">
        <v>262472188</v>
      </c>
      <c r="AA33">
        <v>235921929</v>
      </c>
      <c r="AB33">
        <v>237679844</v>
      </c>
      <c r="AC33">
        <v>269620678</v>
      </c>
      <c r="AD33">
        <v>238516990</v>
      </c>
      <c r="AE33">
        <v>193186608</v>
      </c>
      <c r="AF33">
        <v>191328092</v>
      </c>
      <c r="AG33">
        <v>128387432</v>
      </c>
      <c r="AH33">
        <v>128844208</v>
      </c>
      <c r="AI33">
        <v>479499406</v>
      </c>
      <c r="AJ33">
        <v>242380785</v>
      </c>
      <c r="AK33">
        <v>92545024</v>
      </c>
      <c r="AL33">
        <v>41107916</v>
      </c>
      <c r="AM33">
        <v>-35252887</v>
      </c>
      <c r="AN33">
        <v>68541486</v>
      </c>
      <c r="AO33">
        <v>58997099</v>
      </c>
      <c r="AP33">
        <v>71164299</v>
      </c>
    </row>
    <row r="34" spans="1:42" ht="15.6" x14ac:dyDescent="0.3"/>
    <row r="35" spans="1:42" ht="15.6" x14ac:dyDescent="0.3">
      <c r="A35" t="s">
        <v>155</v>
      </c>
      <c r="B35">
        <v>933715476</v>
      </c>
      <c r="C35">
        <v>385329814.83300877</v>
      </c>
      <c r="D35">
        <v>550404597.39250541</v>
      </c>
      <c r="E35">
        <v>761233196.39233184</v>
      </c>
      <c r="F35">
        <v>1375812341</v>
      </c>
      <c r="G35">
        <v>-974537369.42021465</v>
      </c>
      <c r="H35">
        <v>2510355647.8571758</v>
      </c>
      <c r="I35">
        <v>2776039884.1884894</v>
      </c>
      <c r="J35">
        <v>2380531527.0135341</v>
      </c>
      <c r="K35">
        <v>1516749224.7537956</v>
      </c>
      <c r="L35">
        <v>1892884364.2574692</v>
      </c>
      <c r="M35">
        <v>3723719936.0274048</v>
      </c>
      <c r="N35">
        <v>1626081344.7477376</v>
      </c>
      <c r="P35">
        <v>625884031</v>
      </c>
      <c r="Q35">
        <v>390850521</v>
      </c>
      <c r="R35">
        <v>516735512</v>
      </c>
      <c r="S35">
        <v>807074707</v>
      </c>
      <c r="T35">
        <v>60498060</v>
      </c>
      <c r="U35">
        <v>83128511</v>
      </c>
      <c r="V35">
        <v>36358112</v>
      </c>
      <c r="W35">
        <v>-6045565</v>
      </c>
      <c r="X35">
        <v>157296562</v>
      </c>
      <c r="Y35">
        <v>105752875</v>
      </c>
      <c r="Z35">
        <v>99858231</v>
      </c>
      <c r="AA35">
        <v>97480231</v>
      </c>
      <c r="AB35">
        <v>61127082</v>
      </c>
      <c r="AC35">
        <v>130101742</v>
      </c>
      <c r="AD35">
        <v>109700871</v>
      </c>
      <c r="AE35">
        <v>-68616233</v>
      </c>
      <c r="AF35">
        <v>308962131</v>
      </c>
      <c r="AG35">
        <v>152301917</v>
      </c>
      <c r="AH35">
        <v>32246414</v>
      </c>
      <c r="AI35">
        <v>9709993</v>
      </c>
      <c r="AJ35">
        <v>22244079</v>
      </c>
      <c r="AK35">
        <v>-53629546</v>
      </c>
      <c r="AL35">
        <v>110600897</v>
      </c>
      <c r="AM35">
        <v>20279030</v>
      </c>
      <c r="AN35">
        <v>-1403421</v>
      </c>
      <c r="AO35">
        <v>8118256</v>
      </c>
      <c r="AP35">
        <v>24466988</v>
      </c>
    </row>
    <row r="36" spans="1:42" ht="15.6" x14ac:dyDescent="0.3">
      <c r="A36" t="s">
        <v>156</v>
      </c>
      <c r="B36">
        <v>-582852465</v>
      </c>
      <c r="C36">
        <v>-731675359.77499437</v>
      </c>
      <c r="D36">
        <v>-1303146594.1629772</v>
      </c>
      <c r="E36">
        <v>-1002865862.1744227</v>
      </c>
      <c r="F36">
        <v>-1737544474</v>
      </c>
      <c r="G36">
        <v>-16567044.629805565</v>
      </c>
      <c r="H36">
        <v>-3157754502.7284398</v>
      </c>
      <c r="I36">
        <v>-2018544744.1417484</v>
      </c>
      <c r="J36">
        <v>-1261329065.8315291</v>
      </c>
      <c r="K36">
        <v>43048210.663621902</v>
      </c>
      <c r="L36">
        <v>-1530990443.9358635</v>
      </c>
      <c r="M36">
        <v>-1378041895.1221104</v>
      </c>
      <c r="N36">
        <v>-2396131017.8118134</v>
      </c>
      <c r="P36">
        <v>-272290345</v>
      </c>
      <c r="Q36">
        <v>-301747893</v>
      </c>
      <c r="R36">
        <v>-205294094</v>
      </c>
      <c r="S36">
        <v>-198325277</v>
      </c>
      <c r="T36">
        <v>-152001645</v>
      </c>
      <c r="U36">
        <v>-145429818</v>
      </c>
      <c r="V36">
        <v>-134402402</v>
      </c>
      <c r="W36">
        <v>-72251173</v>
      </c>
      <c r="X36">
        <v>-231824940</v>
      </c>
      <c r="Y36">
        <v>-105001055</v>
      </c>
      <c r="Z36">
        <v>-272979770</v>
      </c>
      <c r="AA36">
        <v>-165754424</v>
      </c>
      <c r="AB36">
        <v>-163239473</v>
      </c>
      <c r="AC36">
        <v>-241084328</v>
      </c>
      <c r="AD36">
        <v>-258618421</v>
      </c>
      <c r="AE36">
        <v>-91881076</v>
      </c>
      <c r="AF36">
        <v>-435381984</v>
      </c>
      <c r="AG36">
        <v>-221753727</v>
      </c>
      <c r="AH36">
        <v>-137846534</v>
      </c>
      <c r="AI36">
        <v>-234591157</v>
      </c>
      <c r="AJ36">
        <v>-75296412</v>
      </c>
      <c r="AK36">
        <v>-37885423</v>
      </c>
      <c r="AL36">
        <v>-250254570</v>
      </c>
      <c r="AM36">
        <v>-315771951</v>
      </c>
      <c r="AN36">
        <v>-152767298</v>
      </c>
      <c r="AO36">
        <v>-81604527</v>
      </c>
      <c r="AP36">
        <v>-85929379</v>
      </c>
    </row>
    <row r="37" spans="1:42" ht="15.6" x14ac:dyDescent="0.3">
      <c r="A37" t="s">
        <v>157</v>
      </c>
      <c r="B37">
        <v>-1195940456</v>
      </c>
      <c r="C37">
        <v>-23115297.715286255</v>
      </c>
      <c r="D37">
        <v>-724931377.63248801</v>
      </c>
      <c r="E37">
        <v>-542367673.04038739</v>
      </c>
      <c r="F37">
        <v>-907615331</v>
      </c>
      <c r="G37">
        <v>-296144485.32791531</v>
      </c>
      <c r="H37">
        <v>-62713668.177885532</v>
      </c>
      <c r="I37">
        <v>-330063354.6036517</v>
      </c>
      <c r="J37">
        <v>-422802440.2736122</v>
      </c>
      <c r="K37">
        <v>-392450323.52211547</v>
      </c>
      <c r="L37">
        <v>-360013028.3878988</v>
      </c>
      <c r="M37">
        <v>-925462561.29483604</v>
      </c>
      <c r="N37">
        <v>-94997808.702292517</v>
      </c>
    </row>
    <row r="38" spans="1:42" ht="15.6" x14ac:dyDescent="0.3">
      <c r="A38" t="s">
        <v>158</v>
      </c>
      <c r="B38">
        <v>1438858921</v>
      </c>
      <c r="C38">
        <v>3178024191.5627851</v>
      </c>
      <c r="D38">
        <v>1669091056.2095428</v>
      </c>
      <c r="E38">
        <v>1912261357.247499</v>
      </c>
      <c r="F38">
        <v>1511695292</v>
      </c>
      <c r="G38">
        <v>88115534.084676743</v>
      </c>
      <c r="H38">
        <v>1975048028.1531839</v>
      </c>
      <c r="I38">
        <v>2300057361.3283248</v>
      </c>
      <c r="J38">
        <v>2404338318.4414191</v>
      </c>
      <c r="K38">
        <v>3536395101.6270351</v>
      </c>
      <c r="L38">
        <v>3282669236.5795708</v>
      </c>
      <c r="M38">
        <v>4628369809.9938087</v>
      </c>
      <c r="N38">
        <v>3404063362.9447465</v>
      </c>
      <c r="P38">
        <v>1874262252</v>
      </c>
      <c r="Q38">
        <v>1578348463</v>
      </c>
      <c r="R38">
        <v>1555738444</v>
      </c>
      <c r="S38">
        <v>1308284102</v>
      </c>
      <c r="T38">
        <v>412140884</v>
      </c>
      <c r="U38">
        <v>417588255</v>
      </c>
      <c r="V38">
        <v>262313390</v>
      </c>
      <c r="W38">
        <v>205885383</v>
      </c>
      <c r="X38">
        <v>186153762</v>
      </c>
      <c r="Y38">
        <v>225439222</v>
      </c>
      <c r="Z38">
        <v>89350649</v>
      </c>
      <c r="AA38">
        <v>167647736</v>
      </c>
      <c r="AB38">
        <v>135567453</v>
      </c>
      <c r="AC38">
        <v>158638092</v>
      </c>
      <c r="AD38">
        <v>89599440</v>
      </c>
      <c r="AE38">
        <v>32689299</v>
      </c>
      <c r="AF38">
        <v>64908239</v>
      </c>
      <c r="AG38">
        <v>58935622</v>
      </c>
      <c r="AH38">
        <v>23244088</v>
      </c>
      <c r="AI38">
        <v>254618242</v>
      </c>
      <c r="AJ38">
        <v>189328452</v>
      </c>
      <c r="AK38">
        <v>1030055</v>
      </c>
      <c r="AL38">
        <v>-98545757</v>
      </c>
      <c r="AM38">
        <v>-330745808</v>
      </c>
      <c r="AN38">
        <v>-85629233</v>
      </c>
      <c r="AO38">
        <v>-14489172</v>
      </c>
      <c r="AP38">
        <v>9701908</v>
      </c>
    </row>
    <row r="39" spans="1:42" ht="15.6" x14ac:dyDescent="0.3"/>
    <row r="40" spans="1:42" ht="15.6" x14ac:dyDescent="0.3">
      <c r="A40" t="s">
        <v>159</v>
      </c>
      <c r="B40">
        <v>-642899775</v>
      </c>
      <c r="C40">
        <v>-1677832266.3284719</v>
      </c>
      <c r="D40">
        <v>-445537408.14082909</v>
      </c>
      <c r="E40">
        <v>-573464704.2323215</v>
      </c>
      <c r="F40">
        <v>-786807643</v>
      </c>
      <c r="G40">
        <v>-823181600.74678135</v>
      </c>
      <c r="H40">
        <v>-556203614.73339152</v>
      </c>
      <c r="I40">
        <v>-546552711.11640179</v>
      </c>
      <c r="J40">
        <v>-595006749.47900021</v>
      </c>
      <c r="K40">
        <v>1190127542.0415831</v>
      </c>
      <c r="L40">
        <v>-1508101423.6502352</v>
      </c>
      <c r="M40">
        <v>-1520674466.4953327</v>
      </c>
      <c r="N40">
        <v>-315116375.87988561</v>
      </c>
      <c r="P40">
        <v>-260687974</v>
      </c>
      <c r="Q40">
        <v>-195872897</v>
      </c>
      <c r="R40">
        <v>-285492473</v>
      </c>
      <c r="S40">
        <v>-407848871</v>
      </c>
      <c r="T40">
        <v>-32647077</v>
      </c>
      <c r="U40">
        <v>-104333925</v>
      </c>
      <c r="V40">
        <v>-20410103</v>
      </c>
      <c r="W40">
        <v>-95519968</v>
      </c>
      <c r="X40">
        <v>-29615632</v>
      </c>
      <c r="Y40">
        <v>-41543838</v>
      </c>
      <c r="Z40">
        <v>17855211</v>
      </c>
      <c r="AA40">
        <v>-61888206</v>
      </c>
      <c r="AB40">
        <v>-14613046</v>
      </c>
      <c r="AC40">
        <v>-38048308</v>
      </c>
      <c r="AD40">
        <v>18440128</v>
      </c>
      <c r="AE40">
        <v>-12203717</v>
      </c>
      <c r="AF40">
        <v>-19616607</v>
      </c>
      <c r="AG40">
        <v>-22544129</v>
      </c>
      <c r="AH40">
        <v>25065639</v>
      </c>
      <c r="AI40">
        <v>15829465</v>
      </c>
      <c r="AJ40">
        <v>8879365</v>
      </c>
      <c r="AK40">
        <v>3604843</v>
      </c>
      <c r="AL40">
        <v>14829369</v>
      </c>
      <c r="AM40">
        <v>50256598</v>
      </c>
      <c r="AN40">
        <v>13814488</v>
      </c>
      <c r="AO40">
        <v>-6737506</v>
      </c>
      <c r="AP40">
        <v>972316</v>
      </c>
    </row>
    <row r="41" spans="1:42" ht="15.6" x14ac:dyDescent="0.3">
      <c r="A41" t="s">
        <v>160</v>
      </c>
      <c r="B41">
        <v>-561719803</v>
      </c>
      <c r="C41">
        <v>-773088856.07161331</v>
      </c>
      <c r="D41">
        <v>-389920176.43221891</v>
      </c>
      <c r="E41">
        <v>-335019101.34828246</v>
      </c>
      <c r="F41">
        <v>-602714221</v>
      </c>
      <c r="G41">
        <v>-1237936200.2344754</v>
      </c>
      <c r="H41">
        <v>-514081695.82582438</v>
      </c>
      <c r="I41">
        <v>-465451958.91538459</v>
      </c>
      <c r="J41">
        <v>-467137375.94276172</v>
      </c>
      <c r="K41">
        <v>-1732705654.5607038</v>
      </c>
      <c r="L41">
        <v>-899144529.83767176</v>
      </c>
      <c r="M41">
        <v>-1440297007.6499624</v>
      </c>
      <c r="N41">
        <v>-1055337863.3008119</v>
      </c>
      <c r="P41">
        <v>-348054263</v>
      </c>
      <c r="Q41">
        <v>-239938434</v>
      </c>
      <c r="R41">
        <v>-376616081</v>
      </c>
      <c r="S41">
        <v>-492505749</v>
      </c>
      <c r="T41">
        <v>-98091969</v>
      </c>
      <c r="U41">
        <v>-118020695</v>
      </c>
      <c r="V41">
        <v>-38197857</v>
      </c>
      <c r="W41">
        <v>-100172905</v>
      </c>
      <c r="X41">
        <v>-41731800</v>
      </c>
      <c r="Y41">
        <v>-32745272</v>
      </c>
      <c r="Z41">
        <v>-6092100</v>
      </c>
      <c r="AA41">
        <v>-97018278</v>
      </c>
      <c r="AB41">
        <v>-16986000</v>
      </c>
      <c r="AC41">
        <v>-27796737</v>
      </c>
      <c r="AD41">
        <v>-5921463</v>
      </c>
      <c r="AE41">
        <v>-28928580</v>
      </c>
      <c r="AF41">
        <v>-12617969</v>
      </c>
      <c r="AG41">
        <v>-23842457</v>
      </c>
      <c r="AH41">
        <v>-2503238</v>
      </c>
      <c r="AI41">
        <v>2777186</v>
      </c>
      <c r="AJ41">
        <v>-1559194</v>
      </c>
      <c r="AK41">
        <v>-2229533</v>
      </c>
      <c r="AL41">
        <v>-3521164</v>
      </c>
      <c r="AM41">
        <v>-8630481</v>
      </c>
      <c r="AN41">
        <v>108679</v>
      </c>
      <c r="AO41">
        <v>-2356598</v>
      </c>
      <c r="AP41">
        <v>-4619789</v>
      </c>
    </row>
    <row r="42" spans="1:42" ht="15.6" x14ac:dyDescent="0.3">
      <c r="A42" t="s">
        <v>161</v>
      </c>
      <c r="B42">
        <v>-81179972</v>
      </c>
      <c r="C42">
        <v>-904743410.25685871</v>
      </c>
      <c r="D42">
        <v>-55617231.708610237</v>
      </c>
      <c r="E42">
        <v>-238445602.88403887</v>
      </c>
      <c r="F42">
        <v>-184093422</v>
      </c>
      <c r="G42">
        <v>414754599.48769397</v>
      </c>
      <c r="H42">
        <v>-42121918.907567054</v>
      </c>
      <c r="I42">
        <v>-81100752.201017201</v>
      </c>
      <c r="J42">
        <v>-127869373.53623846</v>
      </c>
      <c r="K42">
        <v>2922833196.6022873</v>
      </c>
      <c r="L42">
        <v>-608956893.81256342</v>
      </c>
      <c r="M42">
        <v>-80377458.845370889</v>
      </c>
      <c r="N42">
        <v>740221487.42092633</v>
      </c>
      <c r="P42">
        <v>87366289</v>
      </c>
      <c r="Q42">
        <v>44065537</v>
      </c>
      <c r="R42">
        <v>91123608</v>
      </c>
      <c r="S42">
        <v>84656878</v>
      </c>
      <c r="T42">
        <v>65444892</v>
      </c>
      <c r="U42">
        <v>13686770</v>
      </c>
      <c r="V42">
        <v>17787754</v>
      </c>
      <c r="W42">
        <v>4652937</v>
      </c>
      <c r="X42">
        <v>12116168</v>
      </c>
      <c r="Y42">
        <v>-8798566</v>
      </c>
      <c r="Z42">
        <v>23947311</v>
      </c>
      <c r="AA42">
        <v>35130072</v>
      </c>
      <c r="AB42">
        <v>2372954</v>
      </c>
      <c r="AC42">
        <v>-10251571</v>
      </c>
      <c r="AD42">
        <v>24361591</v>
      </c>
      <c r="AE42">
        <v>16724863</v>
      </c>
      <c r="AF42">
        <v>-6998638</v>
      </c>
      <c r="AG42">
        <v>1298328</v>
      </c>
      <c r="AH42">
        <v>27568877</v>
      </c>
      <c r="AI42">
        <v>13052279</v>
      </c>
      <c r="AJ42">
        <v>10438559</v>
      </c>
      <c r="AK42">
        <v>5834376</v>
      </c>
      <c r="AL42">
        <v>18350533</v>
      </c>
      <c r="AM42">
        <v>58887079</v>
      </c>
      <c r="AN42">
        <v>13705809</v>
      </c>
      <c r="AO42">
        <v>-4380908</v>
      </c>
      <c r="AP42">
        <v>5592105</v>
      </c>
    </row>
    <row r="43" spans="1:42" ht="15.6" x14ac:dyDescent="0.3">
      <c r="A43" t="s">
        <v>162</v>
      </c>
      <c r="B43">
        <v>795959146</v>
      </c>
      <c r="C43">
        <v>1500191925.234314</v>
      </c>
      <c r="D43">
        <v>1223553648.0687129</v>
      </c>
      <c r="E43">
        <v>1338796653.015178</v>
      </c>
      <c r="F43">
        <v>724887649</v>
      </c>
      <c r="G43">
        <v>-735066066.66210508</v>
      </c>
      <c r="H43">
        <v>1418844413.4197917</v>
      </c>
      <c r="I43">
        <v>1753504650.2119234</v>
      </c>
      <c r="J43">
        <v>1809331568.9624193</v>
      </c>
      <c r="K43">
        <v>4726522643.6686192</v>
      </c>
      <c r="L43">
        <v>1774567812.9293337</v>
      </c>
      <c r="M43">
        <v>3107695343.4984756</v>
      </c>
      <c r="N43">
        <v>3088946987.0648608</v>
      </c>
      <c r="P43">
        <v>1613574278</v>
      </c>
      <c r="Q43">
        <v>1382475566</v>
      </c>
      <c r="R43">
        <v>1270245971</v>
      </c>
      <c r="S43">
        <v>900435231</v>
      </c>
      <c r="T43">
        <v>379493807</v>
      </c>
      <c r="U43">
        <v>313254330</v>
      </c>
      <c r="V43">
        <v>241903287</v>
      </c>
      <c r="W43">
        <v>110365415</v>
      </c>
      <c r="X43">
        <v>156538130</v>
      </c>
      <c r="Y43">
        <v>183895384</v>
      </c>
      <c r="Z43">
        <v>107205860</v>
      </c>
      <c r="AA43">
        <v>105759530</v>
      </c>
      <c r="AB43">
        <v>120954407</v>
      </c>
      <c r="AC43">
        <v>120589784</v>
      </c>
      <c r="AD43">
        <v>108039568</v>
      </c>
      <c r="AE43">
        <v>20485582</v>
      </c>
      <c r="AF43">
        <v>45291632</v>
      </c>
      <c r="AG43">
        <v>36391493</v>
      </c>
      <c r="AH43">
        <v>48309727</v>
      </c>
      <c r="AI43">
        <v>270447707</v>
      </c>
      <c r="AJ43">
        <v>198207817</v>
      </c>
      <c r="AK43">
        <v>4634898</v>
      </c>
      <c r="AL43">
        <v>-83716388</v>
      </c>
      <c r="AM43">
        <v>-280489210</v>
      </c>
      <c r="AN43">
        <v>-71814745</v>
      </c>
      <c r="AO43">
        <v>-21226678</v>
      </c>
      <c r="AP43">
        <v>10674224</v>
      </c>
    </row>
    <row r="44" spans="1:42" ht="15.6" x14ac:dyDescent="0.3">
      <c r="A44" t="s">
        <v>163</v>
      </c>
    </row>
    <row r="45" spans="1:42" ht="15.6" x14ac:dyDescent="0.3"/>
    <row r="46" spans="1:42" ht="15.6" x14ac:dyDescent="0.3">
      <c r="A46" t="s">
        <v>164</v>
      </c>
      <c r="B46">
        <v>795959146</v>
      </c>
      <c r="C46">
        <v>1500191925.234314</v>
      </c>
      <c r="D46">
        <v>1223553648.0687129</v>
      </c>
      <c r="E46">
        <v>1338796653.015178</v>
      </c>
      <c r="F46">
        <v>724887649</v>
      </c>
      <c r="G46">
        <v>-735066066.66210508</v>
      </c>
      <c r="H46">
        <v>1418844413.4197917</v>
      </c>
      <c r="I46">
        <v>1753504650.2119234</v>
      </c>
      <c r="J46">
        <v>1809331568.9624193</v>
      </c>
      <c r="K46">
        <v>4726522643.6686192</v>
      </c>
      <c r="L46">
        <v>1774567812.9293337</v>
      </c>
      <c r="M46">
        <v>3107695343.4984756</v>
      </c>
      <c r="N46">
        <v>3088946987.0648608</v>
      </c>
      <c r="P46">
        <v>1613574278</v>
      </c>
      <c r="Q46">
        <v>1382475566</v>
      </c>
      <c r="R46">
        <v>1270245971</v>
      </c>
      <c r="S46">
        <v>900435231</v>
      </c>
      <c r="T46">
        <v>379493807</v>
      </c>
      <c r="U46">
        <v>313254330</v>
      </c>
      <c r="V46">
        <v>241903287</v>
      </c>
      <c r="W46">
        <v>110365415</v>
      </c>
      <c r="X46">
        <v>156538130</v>
      </c>
      <c r="Y46">
        <v>183895384</v>
      </c>
      <c r="Z46">
        <v>107205860</v>
      </c>
      <c r="AA46">
        <v>105759530</v>
      </c>
      <c r="AB46">
        <v>120954407</v>
      </c>
      <c r="AC46">
        <v>120589784</v>
      </c>
      <c r="AD46">
        <v>108039568</v>
      </c>
      <c r="AE46">
        <v>20485582</v>
      </c>
      <c r="AF46">
        <v>45291632</v>
      </c>
      <c r="AG46">
        <v>36391493</v>
      </c>
      <c r="AH46">
        <v>48309727</v>
      </c>
      <c r="AI46">
        <v>270447707</v>
      </c>
      <c r="AJ46">
        <v>198207817</v>
      </c>
      <c r="AK46">
        <v>4634898</v>
      </c>
      <c r="AL46">
        <v>-83716388</v>
      </c>
      <c r="AM46">
        <v>-280489210</v>
      </c>
      <c r="AN46">
        <v>-71814745</v>
      </c>
      <c r="AO46">
        <v>-21226678</v>
      </c>
      <c r="AP46">
        <v>10674224</v>
      </c>
    </row>
    <row r="47" spans="1:42" ht="15.6" x14ac:dyDescent="0.3">
      <c r="A47" t="s">
        <v>120</v>
      </c>
      <c r="B47">
        <v>231066906</v>
      </c>
      <c r="C47">
        <v>248482830.39451087</v>
      </c>
      <c r="D47">
        <v>125135215.1357379</v>
      </c>
      <c r="E47">
        <v>191798635.6789223</v>
      </c>
      <c r="F47">
        <v>202866513</v>
      </c>
      <c r="G47">
        <v>-99855304.083693743</v>
      </c>
      <c r="H47">
        <v>407521984.61445069</v>
      </c>
      <c r="I47">
        <v>550876602.87458849</v>
      </c>
      <c r="J47">
        <v>496917276.19994444</v>
      </c>
      <c r="K47">
        <v>303013757.39730084</v>
      </c>
      <c r="L47">
        <v>541940107.18335438</v>
      </c>
      <c r="M47">
        <v>232999825.17371264</v>
      </c>
      <c r="N47">
        <v>189104144.34800306</v>
      </c>
      <c r="P47">
        <v>159291444</v>
      </c>
      <c r="Q47">
        <v>99763163</v>
      </c>
      <c r="R47">
        <v>94484716</v>
      </c>
      <c r="S47">
        <v>33953703</v>
      </c>
      <c r="T47">
        <v>54156952</v>
      </c>
      <c r="U47">
        <v>32913703</v>
      </c>
      <c r="V47">
        <v>34312512</v>
      </c>
      <c r="W47">
        <v>-4207524</v>
      </c>
      <c r="X47">
        <v>23382155</v>
      </c>
      <c r="Y47">
        <v>35979278</v>
      </c>
      <c r="Z47">
        <v>32814909</v>
      </c>
      <c r="AA47">
        <v>-48963367</v>
      </c>
      <c r="AB47">
        <v>54078634</v>
      </c>
      <c r="AC47">
        <v>63922884</v>
      </c>
      <c r="AD47">
        <v>57122238</v>
      </c>
      <c r="AE47">
        <v>10005849</v>
      </c>
      <c r="AF47">
        <v>46425757</v>
      </c>
      <c r="AG47">
        <v>32475271</v>
      </c>
      <c r="AH47">
        <v>35477486</v>
      </c>
      <c r="AI47">
        <v>-10749006</v>
      </c>
      <c r="AJ47">
        <v>34285744</v>
      </c>
      <c r="AK47">
        <v>9301032</v>
      </c>
      <c r="AL47">
        <v>-574500</v>
      </c>
      <c r="AM47">
        <v>-2091556</v>
      </c>
      <c r="AN47">
        <v>2738153</v>
      </c>
      <c r="AO47">
        <v>-186154</v>
      </c>
      <c r="AP47">
        <v>-73991</v>
      </c>
    </row>
    <row r="48" spans="1:42" ht="15.6" x14ac:dyDescent="0.3">
      <c r="A48" t="s">
        <v>165</v>
      </c>
      <c r="B48" s="2">
        <v>564892240</v>
      </c>
      <c r="C48" s="2">
        <v>1251709094.8398027</v>
      </c>
      <c r="D48" s="2">
        <v>1098418432.9329753</v>
      </c>
      <c r="E48" s="2">
        <v>1146998017.3362556</v>
      </c>
      <c r="F48" s="2">
        <v>522021136</v>
      </c>
      <c r="G48" s="2">
        <v>-635210762.57841063</v>
      </c>
      <c r="H48">
        <v>1011322428.8053408</v>
      </c>
      <c r="I48">
        <v>1202628047.3373344</v>
      </c>
      <c r="J48">
        <v>1312414292.7624748</v>
      </c>
      <c r="K48">
        <v>4423508886.2713203</v>
      </c>
      <c r="L48">
        <v>1232627705.7459793</v>
      </c>
      <c r="M48">
        <v>2874695518.3247628</v>
      </c>
      <c r="N48">
        <v>2899842842.7168574</v>
      </c>
      <c r="P48">
        <v>1454282834</v>
      </c>
      <c r="Q48">
        <v>1282712403</v>
      </c>
      <c r="R48">
        <v>1175761255</v>
      </c>
      <c r="S48">
        <v>866481528</v>
      </c>
      <c r="T48">
        <v>325336855</v>
      </c>
      <c r="U48">
        <v>280340627</v>
      </c>
      <c r="V48">
        <v>207590775</v>
      </c>
      <c r="W48">
        <v>114572939</v>
      </c>
      <c r="X48">
        <v>133155975</v>
      </c>
      <c r="Y48">
        <v>147916106</v>
      </c>
      <c r="Z48">
        <v>74390951</v>
      </c>
      <c r="AA48">
        <v>154722897</v>
      </c>
      <c r="AB48">
        <v>66875773</v>
      </c>
      <c r="AC48">
        <v>56666900</v>
      </c>
      <c r="AD48">
        <v>50917330</v>
      </c>
      <c r="AE48">
        <v>10479733</v>
      </c>
      <c r="AF48">
        <v>-1134125</v>
      </c>
      <c r="AG48">
        <v>3916222</v>
      </c>
      <c r="AH48">
        <v>12832241</v>
      </c>
      <c r="AI48">
        <v>281196713</v>
      </c>
      <c r="AJ48">
        <v>163922073</v>
      </c>
      <c r="AK48">
        <v>-4666134</v>
      </c>
      <c r="AL48">
        <v>-83141888</v>
      </c>
      <c r="AM48">
        <v>-278397654</v>
      </c>
      <c r="AN48">
        <v>-74552898</v>
      </c>
      <c r="AO48">
        <v>-21040524</v>
      </c>
      <c r="AP48">
        <v>10748215</v>
      </c>
    </row>
    <row r="49" spans="1:42" ht="15.6" x14ac:dyDescent="0.3"/>
    <row r="50" spans="1:42" ht="15.6" x14ac:dyDescent="0.3">
      <c r="A50" t="s">
        <v>166</v>
      </c>
      <c r="B50">
        <v>977320046</v>
      </c>
      <c r="C50">
        <v>966168408.38457727</v>
      </c>
      <c r="D50">
        <v>848970784.16346169</v>
      </c>
      <c r="E50">
        <v>932608880.5383873</v>
      </c>
      <c r="F50">
        <v>869508158</v>
      </c>
      <c r="G50">
        <v>516188997.78068304</v>
      </c>
      <c r="H50">
        <v>722617177.47201419</v>
      </c>
      <c r="I50">
        <v>799531090.20534575</v>
      </c>
      <c r="J50">
        <v>864821151.38675797</v>
      </c>
      <c r="K50">
        <v>869590159.04634714</v>
      </c>
      <c r="L50">
        <v>686889129.16537189</v>
      </c>
      <c r="M50">
        <v>806944836.0738765</v>
      </c>
      <c r="N50">
        <v>853611876.28917444</v>
      </c>
      <c r="P50">
        <v>456208342</v>
      </c>
      <c r="Q50">
        <v>329414910</v>
      </c>
      <c r="R50">
        <v>262850016</v>
      </c>
      <c r="S50">
        <v>169033729</v>
      </c>
      <c r="T50">
        <v>140474154</v>
      </c>
      <c r="U50">
        <v>135921092</v>
      </c>
      <c r="V50">
        <v>122515065</v>
      </c>
      <c r="W50">
        <v>124196679</v>
      </c>
      <c r="X50">
        <v>119906692</v>
      </c>
      <c r="Y50">
        <v>112426268</v>
      </c>
      <c r="Z50">
        <v>109068725</v>
      </c>
      <c r="AA50">
        <v>127991806</v>
      </c>
      <c r="AB50">
        <v>128112527</v>
      </c>
      <c r="AC50">
        <v>116712727</v>
      </c>
      <c r="AD50">
        <v>112652450</v>
      </c>
      <c r="AE50">
        <v>84051244</v>
      </c>
      <c r="AF50">
        <v>114266390</v>
      </c>
      <c r="AG50">
        <v>104702435</v>
      </c>
      <c r="AH50">
        <v>90998271</v>
      </c>
      <c r="AI50">
        <v>61632031</v>
      </c>
      <c r="AJ50">
        <v>59677178</v>
      </c>
      <c r="AK50">
        <v>60297775</v>
      </c>
      <c r="AL50">
        <v>43393282</v>
      </c>
      <c r="AM50">
        <v>44488923</v>
      </c>
      <c r="AN50">
        <v>53769803</v>
      </c>
      <c r="AO50">
        <v>44361522</v>
      </c>
      <c r="AP50">
        <v>42592401</v>
      </c>
    </row>
    <row r="52" spans="1:42" x14ac:dyDescent="0.3">
      <c r="B52" s="2"/>
      <c r="C52" s="2"/>
    </row>
  </sheetData>
  <pageMargins left="0.7" right="0.7" top="0.75" bottom="0.75" header="0.3" footer="0.3"/>
  <ignoredErrors>
    <ignoredError sqref="A1:AP5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6"/>
  <sheetViews>
    <sheetView workbookViewId="0">
      <selection activeCell="C1" sqref="C1"/>
    </sheetView>
  </sheetViews>
  <sheetFormatPr defaultRowHeight="14.4" outlineLevelCol="2" x14ac:dyDescent="0.3"/>
  <cols>
    <col min="1" max="1" width="40" customWidth="1" outlineLevel="2"/>
    <col min="2" max="42" width="20" customWidth="1"/>
  </cols>
  <sheetData>
    <row r="1" spans="1:4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124</v>
      </c>
    </row>
    <row r="2" spans="1:42" ht="15.6" x14ac:dyDescent="0.3">
      <c r="A2" t="s">
        <v>125</v>
      </c>
    </row>
    <row r="3" spans="1:42" ht="15.6" x14ac:dyDescent="0.3">
      <c r="A3" t="s">
        <v>126</v>
      </c>
      <c r="B3">
        <v>43993385865.228058</v>
      </c>
      <c r="C3">
        <v>46641734171.228058</v>
      </c>
      <c r="D3">
        <v>48181765766.818771</v>
      </c>
      <c r="E3">
        <v>49785921415.815506</v>
      </c>
      <c r="F3">
        <v>47579564754.982582</v>
      </c>
      <c r="G3">
        <v>45570734007.924622</v>
      </c>
      <c r="H3">
        <v>47205073761.404549</v>
      </c>
      <c r="I3">
        <v>52096515124.207741</v>
      </c>
      <c r="J3">
        <v>57839501114.506065</v>
      </c>
      <c r="K3">
        <v>73144344889.976791</v>
      </c>
      <c r="O3">
        <v>181135387690.04089</v>
      </c>
      <c r="P3">
        <v>39294267142</v>
      </c>
      <c r="Q3">
        <v>27691382668</v>
      </c>
      <c r="R3">
        <v>17635424166</v>
      </c>
      <c r="S3">
        <v>13887496594</v>
      </c>
      <c r="T3">
        <v>10285570235</v>
      </c>
      <c r="U3">
        <v>8527964530</v>
      </c>
      <c r="V3">
        <v>7527894198</v>
      </c>
      <c r="W3">
        <v>7230546535</v>
      </c>
      <c r="X3">
        <v>7046605370</v>
      </c>
      <c r="Y3">
        <v>6732541814</v>
      </c>
      <c r="Z3">
        <v>6270006139</v>
      </c>
      <c r="AA3">
        <v>5578594781</v>
      </c>
      <c r="AB3">
        <v>4982630775</v>
      </c>
      <c r="AC3">
        <v>4923924843</v>
      </c>
      <c r="AD3">
        <v>4802551225</v>
      </c>
      <c r="AE3">
        <v>4669249102</v>
      </c>
      <c r="AF3">
        <v>4520436826</v>
      </c>
      <c r="AG3">
        <v>4044604010</v>
      </c>
      <c r="AH3">
        <v>3883035309</v>
      </c>
      <c r="AI3">
        <v>3599311868</v>
      </c>
      <c r="AJ3">
        <v>3531444924</v>
      </c>
      <c r="AK3">
        <v>3489054757</v>
      </c>
      <c r="AL3">
        <v>3190589487</v>
      </c>
      <c r="AM3">
        <v>3178201840</v>
      </c>
    </row>
    <row r="4" spans="1:42" ht="15.6" x14ac:dyDescent="0.3">
      <c r="A4" t="s">
        <v>127</v>
      </c>
    </row>
    <row r="5" spans="1:42" ht="15.6" x14ac:dyDescent="0.3">
      <c r="A5" t="s">
        <v>128</v>
      </c>
      <c r="D5">
        <v>32466772706.439404</v>
      </c>
      <c r="E5">
        <v>34889368830.297302</v>
      </c>
      <c r="F5">
        <v>33504899623.723389</v>
      </c>
      <c r="G5">
        <v>31005577169.466496</v>
      </c>
      <c r="H5">
        <v>33791581779.590847</v>
      </c>
      <c r="I5">
        <v>37162838579.125854</v>
      </c>
      <c r="J5">
        <v>43287052511.786453</v>
      </c>
      <c r="K5">
        <v>56736797886.658447</v>
      </c>
      <c r="O5">
        <v>163421360670.44241</v>
      </c>
      <c r="P5">
        <v>35403584290</v>
      </c>
      <c r="S5">
        <v>12114103979</v>
      </c>
    </row>
    <row r="6" spans="1:42" ht="15.6" x14ac:dyDescent="0.3">
      <c r="A6" t="s">
        <v>129</v>
      </c>
      <c r="D6">
        <v>13813892970.809887</v>
      </c>
      <c r="E6">
        <v>12995452495.948715</v>
      </c>
      <c r="F6">
        <v>12773755506.885578</v>
      </c>
      <c r="G6">
        <v>12664056748.888639</v>
      </c>
      <c r="H6">
        <v>13413491981.813711</v>
      </c>
      <c r="I6">
        <v>14933676545.081898</v>
      </c>
      <c r="J6">
        <v>15959138953.085714</v>
      </c>
      <c r="K6">
        <v>16407547003.318352</v>
      </c>
      <c r="O6">
        <v>17714027019.59848</v>
      </c>
      <c r="P6">
        <v>3890682852</v>
      </c>
      <c r="S6">
        <v>1773392615</v>
      </c>
    </row>
    <row r="7" spans="1:42" ht="15.6" x14ac:dyDescent="0.3">
      <c r="A7" t="s">
        <v>130</v>
      </c>
      <c r="B7">
        <v>-32639724704.558083</v>
      </c>
      <c r="C7">
        <v>-35038080855.558083</v>
      </c>
      <c r="D7">
        <v>-36271008735.485161</v>
      </c>
      <c r="E7">
        <v>-38622285300.955353</v>
      </c>
      <c r="F7">
        <v>-36751798577.712204</v>
      </c>
      <c r="G7">
        <v>-35937471041.065704</v>
      </c>
      <c r="H7">
        <v>-38188000155.654221</v>
      </c>
      <c r="I7">
        <v>-41621614242.360085</v>
      </c>
      <c r="J7">
        <v>-45888313381.608055</v>
      </c>
      <c r="K7">
        <v>-58139170392.61676</v>
      </c>
      <c r="O7">
        <v>-159110482109.78357</v>
      </c>
      <c r="P7">
        <v>-34221183483</v>
      </c>
      <c r="Q7">
        <v>-23665206480</v>
      </c>
      <c r="R7">
        <v>-14526370670</v>
      </c>
      <c r="S7">
        <v>-11808767055</v>
      </c>
      <c r="T7">
        <v>-8513672580</v>
      </c>
      <c r="U7">
        <v>-7003164506</v>
      </c>
      <c r="V7">
        <v>-6232454775</v>
      </c>
      <c r="W7">
        <v>-6032956098</v>
      </c>
      <c r="X7">
        <v>-5949481255</v>
      </c>
      <c r="Y7">
        <v>-5702496878</v>
      </c>
      <c r="Z7">
        <v>-5219260610</v>
      </c>
      <c r="AA7">
        <v>-4563137567</v>
      </c>
      <c r="AB7">
        <v>-3943131333</v>
      </c>
      <c r="AC7">
        <v>-3911817687</v>
      </c>
      <c r="AD7">
        <v>-3942770970</v>
      </c>
      <c r="AE7">
        <v>-3933709353</v>
      </c>
      <c r="AF7">
        <v>-3917585579</v>
      </c>
      <c r="AG7">
        <v>-3519800518</v>
      </c>
      <c r="AH7">
        <v>-3453816120</v>
      </c>
      <c r="AI7">
        <v>-3283982668</v>
      </c>
      <c r="AJ7">
        <v>-3265487520</v>
      </c>
      <c r="AK7">
        <v>-3281006102</v>
      </c>
      <c r="AL7">
        <v>-2962397062</v>
      </c>
      <c r="AM7">
        <v>-2901198152</v>
      </c>
    </row>
    <row r="8" spans="1:42" ht="15.6" x14ac:dyDescent="0.3">
      <c r="A8" t="s">
        <v>131</v>
      </c>
      <c r="B8">
        <v>11353661160.669977</v>
      </c>
      <c r="C8">
        <v>11603653315.669977</v>
      </c>
      <c r="D8">
        <v>11910757031.333622</v>
      </c>
      <c r="E8">
        <v>11163636114.860153</v>
      </c>
      <c r="F8">
        <v>10827766177.270378</v>
      </c>
      <c r="G8">
        <v>9633262966.8589211</v>
      </c>
      <c r="H8">
        <v>9017073605.7503319</v>
      </c>
      <c r="I8">
        <v>10474900881.847668</v>
      </c>
      <c r="J8">
        <v>11951187732.898014</v>
      </c>
      <c r="K8">
        <v>15005174497.360033</v>
      </c>
      <c r="O8">
        <v>22024905580.257294</v>
      </c>
      <c r="P8">
        <v>5073083659</v>
      </c>
      <c r="Q8">
        <v>4026176188</v>
      </c>
      <c r="R8">
        <v>3109053496</v>
      </c>
      <c r="S8">
        <v>2078729539</v>
      </c>
      <c r="T8">
        <v>1771897655</v>
      </c>
      <c r="U8">
        <v>1524800024</v>
      </c>
      <c r="V8">
        <v>1295439423</v>
      </c>
      <c r="W8">
        <v>1197590437</v>
      </c>
      <c r="X8">
        <v>1097124115</v>
      </c>
      <c r="Y8">
        <v>1030044936</v>
      </c>
      <c r="Z8">
        <v>1050745529</v>
      </c>
      <c r="AA8">
        <v>1015457214</v>
      </c>
      <c r="AB8">
        <v>1039499442</v>
      </c>
      <c r="AC8">
        <v>1012107156</v>
      </c>
      <c r="AD8">
        <v>859780255</v>
      </c>
      <c r="AE8">
        <v>735539749</v>
      </c>
      <c r="AF8">
        <v>602851247</v>
      </c>
      <c r="AG8">
        <v>524803492</v>
      </c>
      <c r="AH8">
        <v>429219189</v>
      </c>
      <c r="AI8">
        <v>315329200</v>
      </c>
      <c r="AJ8">
        <v>265957404</v>
      </c>
      <c r="AK8">
        <v>208048655</v>
      </c>
      <c r="AL8">
        <v>228192425</v>
      </c>
      <c r="AM8">
        <v>277003688</v>
      </c>
    </row>
    <row r="9" spans="1:42" ht="15.6" x14ac:dyDescent="0.3">
      <c r="A9" t="s">
        <v>132</v>
      </c>
    </row>
    <row r="10" spans="1:42" ht="15.6" x14ac:dyDescent="0.3">
      <c r="A10" t="s">
        <v>133</v>
      </c>
    </row>
    <row r="11" spans="1:42" ht="15.6" x14ac:dyDescent="0.3">
      <c r="A11" t="s">
        <v>134</v>
      </c>
    </row>
    <row r="12" spans="1:42" ht="15.6" x14ac:dyDescent="0.3">
      <c r="A12" t="s">
        <v>135</v>
      </c>
    </row>
    <row r="13" spans="1:42" ht="15.6" x14ac:dyDescent="0.3">
      <c r="A13" t="s">
        <v>136</v>
      </c>
      <c r="B13">
        <v>11353661160.669977</v>
      </c>
      <c r="C13">
        <v>11603653315.669977</v>
      </c>
      <c r="D13">
        <v>11910757031.333622</v>
      </c>
      <c r="E13">
        <v>11163636114.860153</v>
      </c>
      <c r="F13">
        <v>10827766177.270378</v>
      </c>
      <c r="G13">
        <v>9633262966.8589211</v>
      </c>
      <c r="H13">
        <v>9017073605.7503319</v>
      </c>
      <c r="I13">
        <v>10474900881.847668</v>
      </c>
      <c r="J13">
        <v>11951187732.898014</v>
      </c>
      <c r="K13">
        <v>15005174497.360033</v>
      </c>
      <c r="O13">
        <v>22024905580.257294</v>
      </c>
      <c r="P13">
        <v>5073083659</v>
      </c>
      <c r="Q13">
        <v>4026176188</v>
      </c>
      <c r="R13">
        <v>3109053496</v>
      </c>
      <c r="S13">
        <v>2078729539</v>
      </c>
      <c r="T13">
        <v>1771897655</v>
      </c>
      <c r="U13">
        <v>1524800024</v>
      </c>
      <c r="V13">
        <v>1295439423</v>
      </c>
      <c r="W13">
        <v>1197590437</v>
      </c>
      <c r="X13">
        <v>1097124115</v>
      </c>
      <c r="Y13">
        <v>1030044936</v>
      </c>
      <c r="Z13">
        <v>1050745529</v>
      </c>
      <c r="AA13">
        <v>1015457214</v>
      </c>
      <c r="AB13">
        <v>1039499442</v>
      </c>
      <c r="AC13">
        <v>1012107156</v>
      </c>
      <c r="AD13">
        <v>859780255</v>
      </c>
      <c r="AE13">
        <v>735539749</v>
      </c>
      <c r="AF13">
        <v>602851247</v>
      </c>
      <c r="AG13">
        <v>524803492</v>
      </c>
      <c r="AH13">
        <v>429219189</v>
      </c>
      <c r="AI13">
        <v>315329200</v>
      </c>
      <c r="AJ13">
        <v>265957404</v>
      </c>
      <c r="AK13">
        <v>208048655</v>
      </c>
      <c r="AL13">
        <v>228192425</v>
      </c>
      <c r="AM13">
        <v>277003688</v>
      </c>
    </row>
    <row r="14" spans="1:42" ht="15.6" x14ac:dyDescent="0.3"/>
    <row r="15" spans="1:42" ht="15.6" x14ac:dyDescent="0.3">
      <c r="A15" t="s">
        <v>137</v>
      </c>
      <c r="B15">
        <v>-1954089013.381804</v>
      </c>
      <c r="C15">
        <v>-1927822497.381804</v>
      </c>
      <c r="D15">
        <v>-2053739025.8757005</v>
      </c>
      <c r="E15">
        <v>-2095144902.5601292</v>
      </c>
      <c r="F15">
        <v>-2087346675.0887499</v>
      </c>
      <c r="G15">
        <v>-2141744310.1175797</v>
      </c>
      <c r="H15">
        <v>-1928931872.8315492</v>
      </c>
      <c r="I15">
        <v>-1847072864.8194149</v>
      </c>
      <c r="J15">
        <v>-1768169254.3769505</v>
      </c>
      <c r="K15">
        <v>-1634708328.8809822</v>
      </c>
      <c r="O15">
        <v>-1182946379.1616991</v>
      </c>
      <c r="P15">
        <v>-270363940</v>
      </c>
      <c r="Q15">
        <v>-233423486</v>
      </c>
      <c r="R15">
        <v>-191426132</v>
      </c>
      <c r="S15">
        <v>-164552824</v>
      </c>
      <c r="T15">
        <v>-121201378</v>
      </c>
      <c r="U15">
        <v>-105689965</v>
      </c>
      <c r="V15">
        <v>-117377325</v>
      </c>
      <c r="W15">
        <v>-117412617</v>
      </c>
      <c r="X15">
        <v>-104605778</v>
      </c>
      <c r="Y15">
        <v>-108159148</v>
      </c>
      <c r="Z15">
        <v>-97698220</v>
      </c>
      <c r="AA15">
        <v>-95606154</v>
      </c>
      <c r="AB15">
        <v>-100752466</v>
      </c>
      <c r="AC15">
        <v>-88966054</v>
      </c>
      <c r="AD15">
        <v>-80399415</v>
      </c>
      <c r="AE15">
        <v>-68239611</v>
      </c>
      <c r="AF15">
        <v>-53187594</v>
      </c>
      <c r="AG15">
        <v>-50260879</v>
      </c>
      <c r="AH15">
        <v>-53442512</v>
      </c>
      <c r="AI15">
        <v>-55047968</v>
      </c>
      <c r="AJ15">
        <v>-48727005</v>
      </c>
      <c r="AK15">
        <v>-45230786</v>
      </c>
      <c r="AL15">
        <v>-34918095</v>
      </c>
      <c r="AM15">
        <v>-30017491</v>
      </c>
    </row>
    <row r="16" spans="1:42" ht="15.6" x14ac:dyDescent="0.3">
      <c r="A16" t="s">
        <v>138</v>
      </c>
      <c r="B16">
        <v>-31606432.888604306</v>
      </c>
      <c r="C16">
        <v>-39173722.888604306</v>
      </c>
      <c r="D16">
        <v>-19700290.851299673</v>
      </c>
      <c r="E16">
        <v>-16195800.049185488</v>
      </c>
      <c r="F16">
        <v>-50184289.931334287</v>
      </c>
      <c r="G16">
        <v>-57214640.471372023</v>
      </c>
      <c r="H16">
        <v>-107353448.17042065</v>
      </c>
      <c r="I16">
        <v>-104651082.65999252</v>
      </c>
      <c r="J16">
        <v>-61930790.191010118</v>
      </c>
      <c r="K16">
        <v>-48754988.703954116</v>
      </c>
      <c r="O16">
        <v>-90158619.093052521</v>
      </c>
      <c r="P16">
        <v>-12402992</v>
      </c>
      <c r="Q16">
        <v>-10094943</v>
      </c>
      <c r="R16">
        <v>-7940512</v>
      </c>
      <c r="S16">
        <v>-8543603</v>
      </c>
      <c r="T16">
        <v>-10014871</v>
      </c>
      <c r="U16">
        <v>-10910073</v>
      </c>
      <c r="V16">
        <v>-10076188</v>
      </c>
      <c r="W16">
        <v>-9622641</v>
      </c>
      <c r="X16">
        <v>-4240336</v>
      </c>
      <c r="Y16">
        <v>-1406225</v>
      </c>
      <c r="Z16">
        <v>-1532643</v>
      </c>
      <c r="AA16">
        <v>-1521304</v>
      </c>
      <c r="AB16">
        <v>-1486018</v>
      </c>
      <c r="AC16">
        <v>-1840530</v>
      </c>
      <c r="AD16">
        <v>-1825025</v>
      </c>
      <c r="AE16">
        <v>-1370976</v>
      </c>
      <c r="AF16">
        <v>-1422520</v>
      </c>
      <c r="AG16">
        <v>-1081821</v>
      </c>
      <c r="AH16">
        <v>-1093773</v>
      </c>
      <c r="AI16">
        <v>-1258384</v>
      </c>
      <c r="AJ16">
        <v>-1251823</v>
      </c>
      <c r="AK16">
        <v>-1158784</v>
      </c>
      <c r="AL16">
        <v>-1129175</v>
      </c>
      <c r="AM16">
        <v>-839496</v>
      </c>
    </row>
    <row r="17" spans="1:39" ht="15.6" x14ac:dyDescent="0.3">
      <c r="A17" t="s">
        <v>139</v>
      </c>
    </row>
    <row r="18" spans="1:39" ht="15.6" x14ac:dyDescent="0.3">
      <c r="A18" t="s">
        <v>140</v>
      </c>
      <c r="B18">
        <v>1134962913.8907757</v>
      </c>
      <c r="C18">
        <v>1109962163.8907757</v>
      </c>
      <c r="D18">
        <v>580809585.87379014</v>
      </c>
      <c r="E18">
        <v>559011692.85175562</v>
      </c>
      <c r="F18">
        <v>169603969.88706982</v>
      </c>
      <c r="G18">
        <v>541298919.56383705</v>
      </c>
      <c r="H18">
        <v>1296247585.1552191</v>
      </c>
      <c r="I18">
        <v>1140456916.9989619</v>
      </c>
      <c r="J18">
        <v>1287369727.2176452</v>
      </c>
      <c r="K18">
        <v>988310472.4562701</v>
      </c>
      <c r="O18">
        <v>1549082020.9349136</v>
      </c>
      <c r="P18">
        <v>358612449</v>
      </c>
      <c r="Q18">
        <v>319766127</v>
      </c>
      <c r="R18">
        <v>234123141</v>
      </c>
      <c r="S18">
        <v>226348967</v>
      </c>
      <c r="T18">
        <v>19813885</v>
      </c>
      <c r="U18">
        <v>21604148</v>
      </c>
      <c r="V18">
        <v>21577797</v>
      </c>
      <c r="W18">
        <v>14082509</v>
      </c>
      <c r="X18">
        <v>45104828</v>
      </c>
      <c r="Y18">
        <v>60058812</v>
      </c>
      <c r="Z18">
        <v>66170488</v>
      </c>
      <c r="AA18">
        <v>67206818</v>
      </c>
      <c r="AB18">
        <v>38016952</v>
      </c>
      <c r="AC18">
        <v>28032714</v>
      </c>
      <c r="AD18">
        <v>19044476</v>
      </c>
      <c r="AE18">
        <v>18257699</v>
      </c>
      <c r="AF18">
        <v>22514012</v>
      </c>
      <c r="AG18">
        <v>10196915</v>
      </c>
      <c r="AH18">
        <v>12836988</v>
      </c>
      <c r="AI18">
        <v>24725041</v>
      </c>
      <c r="AJ18">
        <v>15600358</v>
      </c>
      <c r="AK18">
        <v>24066243</v>
      </c>
      <c r="AL18">
        <v>18827554</v>
      </c>
      <c r="AM18">
        <v>12805376</v>
      </c>
    </row>
    <row r="19" spans="1:39" ht="15.6" x14ac:dyDescent="0.3">
      <c r="A19" t="s">
        <v>141</v>
      </c>
      <c r="B19">
        <v>-234657613.05070195</v>
      </c>
      <c r="C19">
        <v>-188716078.05070195</v>
      </c>
      <c r="D19">
        <v>-97217002.398881823</v>
      </c>
      <c r="E19">
        <v>-171682432.73247892</v>
      </c>
      <c r="F19">
        <v>-175507582.42269367</v>
      </c>
      <c r="G19">
        <v>-180423464.80788988</v>
      </c>
      <c r="H19">
        <v>-238023472.13513964</v>
      </c>
      <c r="I19">
        <v>-147856534.02649686</v>
      </c>
      <c r="J19">
        <v>-136173945.64839178</v>
      </c>
      <c r="K19">
        <v>-212058092.75125444</v>
      </c>
      <c r="O19">
        <v>-595473856.97747624</v>
      </c>
      <c r="P19">
        <v>-163788353</v>
      </c>
      <c r="Q19">
        <v>-142280009</v>
      </c>
      <c r="R19">
        <v>-136189377</v>
      </c>
      <c r="S19">
        <v>-72848950</v>
      </c>
      <c r="T19">
        <v>-34614535</v>
      </c>
      <c r="U19">
        <v>-41886902</v>
      </c>
      <c r="V19">
        <v>-44047290</v>
      </c>
      <c r="W19">
        <v>-42165376</v>
      </c>
      <c r="X19">
        <v>-36823181</v>
      </c>
      <c r="Y19">
        <v>-22143067</v>
      </c>
      <c r="Z19">
        <v>-12205716</v>
      </c>
      <c r="AA19">
        <v>-9527013</v>
      </c>
      <c r="AB19">
        <v>-22859498</v>
      </c>
      <c r="AC19">
        <v>-30611695</v>
      </c>
      <c r="AD19">
        <v>-34409085</v>
      </c>
      <c r="AE19">
        <v>-33862938</v>
      </c>
      <c r="AF19">
        <v>-18054950</v>
      </c>
      <c r="AG19">
        <v>-7454239</v>
      </c>
      <c r="AH19">
        <v>-4297219</v>
      </c>
      <c r="AI19">
        <v>-8570535</v>
      </c>
      <c r="AJ19">
        <v>-13942936</v>
      </c>
      <c r="AK19">
        <v>-14733804</v>
      </c>
      <c r="AL19">
        <v>-13950961</v>
      </c>
      <c r="AM19">
        <v>-9297643</v>
      </c>
    </row>
    <row r="20" spans="1:39" ht="15.6" x14ac:dyDescent="0.3">
      <c r="A20" t="s">
        <v>142</v>
      </c>
    </row>
    <row r="21" spans="1:39" ht="15.6" x14ac:dyDescent="0.3">
      <c r="A21" t="s">
        <v>143</v>
      </c>
      <c r="B21">
        <v>10268271015.239641</v>
      </c>
      <c r="C21">
        <v>10557903181.239641</v>
      </c>
      <c r="D21">
        <v>10320910298.08153</v>
      </c>
      <c r="E21">
        <v>9439624672.3701172</v>
      </c>
      <c r="F21">
        <v>8684331599.7146702</v>
      </c>
      <c r="G21">
        <v>7795179471.0259171</v>
      </c>
      <c r="H21">
        <v>8039012397.7684441</v>
      </c>
      <c r="I21">
        <v>9515777317.3407288</v>
      </c>
      <c r="J21">
        <v>11272283469.899309</v>
      </c>
      <c r="K21">
        <v>14097963559.480114</v>
      </c>
      <c r="O21">
        <v>21705408745.959976</v>
      </c>
      <c r="P21">
        <v>4985140823</v>
      </c>
      <c r="Q21">
        <v>3960143877</v>
      </c>
      <c r="R21">
        <v>3007620616</v>
      </c>
      <c r="S21">
        <v>2059133129</v>
      </c>
      <c r="T21">
        <v>1625880756</v>
      </c>
      <c r="U21">
        <v>1387917232</v>
      </c>
      <c r="V21">
        <v>1145516417</v>
      </c>
      <c r="W21">
        <v>1042472312</v>
      </c>
      <c r="X21">
        <v>996559648</v>
      </c>
      <c r="Y21">
        <v>958395308</v>
      </c>
      <c r="Z21">
        <v>1005479438</v>
      </c>
      <c r="AA21">
        <v>976009561</v>
      </c>
      <c r="AB21">
        <v>952418412</v>
      </c>
      <c r="AC21">
        <v>918721591</v>
      </c>
      <c r="AD21">
        <v>762191206</v>
      </c>
      <c r="AE21">
        <v>650323923</v>
      </c>
      <c r="AF21">
        <v>552700195</v>
      </c>
      <c r="AG21">
        <v>476203468</v>
      </c>
      <c r="AH21">
        <v>383222673</v>
      </c>
      <c r="AI21">
        <v>275177354</v>
      </c>
      <c r="AJ21">
        <v>217635998</v>
      </c>
      <c r="AK21">
        <v>170991524</v>
      </c>
      <c r="AL21">
        <v>197021748</v>
      </c>
      <c r="AM21">
        <v>249654434</v>
      </c>
    </row>
    <row r="22" spans="1:39" ht="15.6" x14ac:dyDescent="0.3"/>
    <row r="23" spans="1:39" ht="15.6" x14ac:dyDescent="0.3">
      <c r="A23" t="s">
        <v>144</v>
      </c>
    </row>
    <row r="24" spans="1:39" ht="15.6" x14ac:dyDescent="0.3">
      <c r="A24" t="s">
        <v>145</v>
      </c>
    </row>
    <row r="25" spans="1:39" ht="15.6" x14ac:dyDescent="0.3">
      <c r="A25" t="s">
        <v>146</v>
      </c>
      <c r="B25">
        <v>917501594.92668772</v>
      </c>
      <c r="C25">
        <v>918020464.92668772</v>
      </c>
      <c r="D25">
        <v>-27712025.584069133</v>
      </c>
      <c r="E25">
        <v>505656004.62137461</v>
      </c>
      <c r="F25">
        <v>508171854.34359914</v>
      </c>
      <c r="G25">
        <v>507710529.60238141</v>
      </c>
      <c r="H25">
        <v>557357753.74618936</v>
      </c>
      <c r="I25">
        <v>-12837099.366394315</v>
      </c>
      <c r="J25">
        <v>10114067.520057483</v>
      </c>
      <c r="K25">
        <v>160334050.37728485</v>
      </c>
      <c r="O25">
        <v>102421698.70649356</v>
      </c>
      <c r="P25">
        <v>9438383</v>
      </c>
      <c r="Q25">
        <v>7599752</v>
      </c>
      <c r="R25">
        <v>2058401</v>
      </c>
      <c r="S25">
        <v>1984207</v>
      </c>
      <c r="T25">
        <v>3046</v>
      </c>
      <c r="W25">
        <v>156404</v>
      </c>
      <c r="X25">
        <v>304728</v>
      </c>
      <c r="AA25">
        <v>633402</v>
      </c>
      <c r="AB25">
        <v>475602</v>
      </c>
      <c r="AC25">
        <v>513721</v>
      </c>
      <c r="AD25">
        <v>456439</v>
      </c>
      <c r="AE25">
        <v>2640864</v>
      </c>
      <c r="AF25">
        <v>377284780</v>
      </c>
      <c r="AG25">
        <v>514389541</v>
      </c>
      <c r="AH25">
        <v>571703301</v>
      </c>
      <c r="AI25">
        <v>591940550</v>
      </c>
      <c r="AJ25">
        <v>220669753</v>
      </c>
      <c r="AK25">
        <v>83919587</v>
      </c>
      <c r="AL25">
        <v>26593530</v>
      </c>
      <c r="AM25">
        <v>3950599</v>
      </c>
    </row>
    <row r="26" spans="1:39" ht="15.6" x14ac:dyDescent="0.3">
      <c r="A26" t="s">
        <v>147</v>
      </c>
      <c r="C26">
        <v>-4298060.323079681</v>
      </c>
      <c r="D26">
        <v>-859012868.3799547</v>
      </c>
      <c r="G26">
        <v>-853587618.17680788</v>
      </c>
      <c r="K26">
        <v>-246328317.05835983</v>
      </c>
      <c r="O26">
        <v>-5003221092.3139658</v>
      </c>
      <c r="AF26">
        <v>5505795</v>
      </c>
      <c r="AI26">
        <v>-4160221</v>
      </c>
      <c r="AJ26">
        <v>-97524913</v>
      </c>
      <c r="AK26">
        <v>-87969572</v>
      </c>
      <c r="AL26">
        <v>-90221664</v>
      </c>
      <c r="AM26">
        <v>-90155036</v>
      </c>
    </row>
    <row r="27" spans="1:39" ht="15.6" x14ac:dyDescent="0.3">
      <c r="A27" t="s">
        <v>148</v>
      </c>
      <c r="B27">
        <v>492972977.05928791</v>
      </c>
      <c r="C27">
        <v>699928331.05928791</v>
      </c>
      <c r="D27">
        <v>565247912.0275861</v>
      </c>
      <c r="E27">
        <v>446136377.92023861</v>
      </c>
      <c r="F27">
        <v>375277480.66871971</v>
      </c>
      <c r="G27">
        <v>191786475.63171661</v>
      </c>
      <c r="H27">
        <v>284730579.89605558</v>
      </c>
      <c r="I27">
        <v>-26211693.120115742</v>
      </c>
      <c r="J27">
        <v>-470140258.06703305</v>
      </c>
      <c r="K27">
        <v>-884867783.32697856</v>
      </c>
      <c r="O27">
        <v>-369673326.85332745</v>
      </c>
      <c r="P27">
        <v>-40833107</v>
      </c>
      <c r="Q27">
        <v>-31021627</v>
      </c>
      <c r="R27">
        <v>-82313288</v>
      </c>
      <c r="S27">
        <v>-17690953</v>
      </c>
      <c r="T27">
        <v>2190030</v>
      </c>
      <c r="U27">
        <v>-2886296</v>
      </c>
      <c r="V27">
        <v>-15690930</v>
      </c>
      <c r="W27">
        <v>-10604865</v>
      </c>
      <c r="X27">
        <v>-13100717</v>
      </c>
      <c r="Y27">
        <v>2138848</v>
      </c>
      <c r="Z27">
        <v>-78296</v>
      </c>
      <c r="AA27">
        <v>5096478</v>
      </c>
      <c r="AB27">
        <v>-13889894</v>
      </c>
      <c r="AC27">
        <v>-26582944</v>
      </c>
      <c r="AD27">
        <v>-11228523</v>
      </c>
      <c r="AE27">
        <v>-11218447</v>
      </c>
      <c r="AI27">
        <v>-7424552</v>
      </c>
    </row>
    <row r="28" spans="1:39" ht="15.6" x14ac:dyDescent="0.3">
      <c r="A28" t="s">
        <v>149</v>
      </c>
    </row>
    <row r="29" spans="1:39" ht="15.6" x14ac:dyDescent="0.3">
      <c r="A29" t="s">
        <v>150</v>
      </c>
    </row>
    <row r="30" spans="1:39" ht="15.6" x14ac:dyDescent="0.3">
      <c r="A30" t="s">
        <v>151</v>
      </c>
    </row>
    <row r="31" spans="1:39" ht="15.6" x14ac:dyDescent="0.3">
      <c r="A31" t="s">
        <v>152</v>
      </c>
    </row>
    <row r="32" spans="1:39" ht="15.6" x14ac:dyDescent="0.3">
      <c r="A32" t="s">
        <v>153</v>
      </c>
    </row>
    <row r="33" spans="1:39" ht="15.6" x14ac:dyDescent="0.3">
      <c r="A33" t="s">
        <v>154</v>
      </c>
      <c r="B33">
        <v>11674447526.902538</v>
      </c>
      <c r="C33">
        <v>12171553916.902538</v>
      </c>
      <c r="D33">
        <v>9999433316.145092</v>
      </c>
      <c r="E33">
        <v>9537829436.7349205</v>
      </c>
      <c r="F33">
        <v>8714193316.5501804</v>
      </c>
      <c r="G33">
        <v>7641088858.0832071</v>
      </c>
      <c r="H33">
        <v>8634772414.3523293</v>
      </c>
      <c r="I33">
        <v>9230400207.7958603</v>
      </c>
      <c r="J33">
        <v>10565928962.293972</v>
      </c>
      <c r="K33">
        <v>13127101509.472061</v>
      </c>
      <c r="O33">
        <v>16434936025.499176</v>
      </c>
      <c r="P33">
        <v>4953746099</v>
      </c>
      <c r="Q33">
        <v>3936722002</v>
      </c>
      <c r="R33">
        <v>2927365729</v>
      </c>
      <c r="S33">
        <v>2043426383</v>
      </c>
      <c r="T33">
        <v>1628073832</v>
      </c>
      <c r="U33">
        <v>1385111503</v>
      </c>
      <c r="V33">
        <v>1129909343</v>
      </c>
      <c r="W33">
        <v>1032023851</v>
      </c>
      <c r="X33">
        <v>983763659</v>
      </c>
      <c r="Y33">
        <v>960761363</v>
      </c>
      <c r="Z33">
        <v>1005694639</v>
      </c>
      <c r="AA33">
        <v>981739441</v>
      </c>
      <c r="AB33">
        <v>939004120</v>
      </c>
      <c r="AC33">
        <v>892652368</v>
      </c>
      <c r="AD33">
        <v>751419122</v>
      </c>
      <c r="AE33">
        <v>641746340</v>
      </c>
      <c r="AF33">
        <v>928059138</v>
      </c>
      <c r="AG33">
        <v>979111831</v>
      </c>
      <c r="AH33">
        <v>943269423</v>
      </c>
      <c r="AI33">
        <v>855533131</v>
      </c>
      <c r="AJ33">
        <v>340780838</v>
      </c>
      <c r="AK33">
        <v>166941539</v>
      </c>
      <c r="AL33">
        <v>133393614</v>
      </c>
      <c r="AM33">
        <v>163449997</v>
      </c>
    </row>
    <row r="34" spans="1:39" ht="15.6" x14ac:dyDescent="0.3"/>
    <row r="35" spans="1:39" ht="15.6" x14ac:dyDescent="0.3">
      <c r="A35" t="s">
        <v>155</v>
      </c>
      <c r="B35">
        <v>2630683084.617846</v>
      </c>
      <c r="C35">
        <v>3072779949.617846</v>
      </c>
      <c r="D35">
        <v>1712912765.3646226</v>
      </c>
      <c r="E35">
        <v>3672863815.8292933</v>
      </c>
      <c r="F35">
        <v>5687670503.6254501</v>
      </c>
      <c r="G35">
        <v>6692389689.6389847</v>
      </c>
      <c r="H35">
        <v>9183676283.8129959</v>
      </c>
      <c r="I35">
        <v>8566205000.2132883</v>
      </c>
      <c r="J35">
        <v>9513885052.0522041</v>
      </c>
      <c r="K35">
        <v>8759434869.7864075</v>
      </c>
      <c r="O35">
        <v>5825101046.4438686</v>
      </c>
      <c r="P35">
        <v>2340544771</v>
      </c>
      <c r="Q35">
        <v>1775158800</v>
      </c>
      <c r="R35">
        <v>1467436790</v>
      </c>
      <c r="S35">
        <v>987059390</v>
      </c>
      <c r="T35">
        <v>173939118</v>
      </c>
      <c r="U35">
        <v>270737620</v>
      </c>
      <c r="V35">
        <v>293361984</v>
      </c>
      <c r="W35">
        <v>356862103</v>
      </c>
      <c r="X35">
        <v>460387899</v>
      </c>
      <c r="Y35">
        <v>364218419</v>
      </c>
      <c r="Z35">
        <v>388567286</v>
      </c>
      <c r="AA35">
        <v>398409926</v>
      </c>
      <c r="AB35">
        <v>232313462</v>
      </c>
      <c r="AC35">
        <v>480148511</v>
      </c>
      <c r="AD35">
        <v>502348686</v>
      </c>
      <c r="AE35">
        <v>424894229</v>
      </c>
      <c r="AF35">
        <v>503220455</v>
      </c>
      <c r="AG35">
        <v>216502403</v>
      </c>
      <c r="AH35">
        <v>10570940</v>
      </c>
      <c r="AI35">
        <v>88925423</v>
      </c>
      <c r="AJ35">
        <v>99494460</v>
      </c>
      <c r="AK35">
        <v>75846960</v>
      </c>
      <c r="AL35">
        <v>137594762</v>
      </c>
      <c r="AM35">
        <v>51460853</v>
      </c>
    </row>
    <row r="36" spans="1:39" ht="15.6" x14ac:dyDescent="0.3">
      <c r="A36" t="s">
        <v>156</v>
      </c>
      <c r="B36">
        <v>-3620540281.1123943</v>
      </c>
      <c r="C36">
        <v>-4775232290.1123943</v>
      </c>
      <c r="D36">
        <v>-4060123974.9672055</v>
      </c>
      <c r="E36">
        <v>-5914731883.5326681</v>
      </c>
      <c r="F36">
        <v>-6930410765.4999943</v>
      </c>
      <c r="G36">
        <v>-6454195357.3315229</v>
      </c>
      <c r="H36">
        <v>-6394580102.0380955</v>
      </c>
      <c r="I36">
        <v>-4767816043.2455196</v>
      </c>
      <c r="J36">
        <v>-4127313194.2258811</v>
      </c>
      <c r="K36">
        <v>-5262115146.2061653</v>
      </c>
      <c r="O36">
        <v>-4350408175.5931759</v>
      </c>
      <c r="P36">
        <v>-977657609</v>
      </c>
      <c r="Q36">
        <v>-857368909</v>
      </c>
      <c r="R36">
        <v>-701050834</v>
      </c>
      <c r="S36">
        <v>-630159142</v>
      </c>
      <c r="T36">
        <v>-504085038</v>
      </c>
      <c r="U36">
        <v>-583908333</v>
      </c>
      <c r="V36">
        <v>-543479570</v>
      </c>
      <c r="W36">
        <v>-682056938</v>
      </c>
      <c r="X36">
        <v>-775560189</v>
      </c>
      <c r="Y36">
        <v>-706974722</v>
      </c>
      <c r="Z36">
        <v>-843057995</v>
      </c>
      <c r="AA36">
        <v>-828696646</v>
      </c>
      <c r="AB36">
        <v>-754823298</v>
      </c>
      <c r="AC36">
        <v>-1026965809</v>
      </c>
      <c r="AD36">
        <v>-1007635208</v>
      </c>
      <c r="AE36">
        <v>-886863321</v>
      </c>
      <c r="AF36">
        <v>-1029573402</v>
      </c>
      <c r="AG36">
        <v>-669487830</v>
      </c>
      <c r="AH36">
        <v>-485619526</v>
      </c>
      <c r="AI36">
        <v>-598027562</v>
      </c>
      <c r="AJ36">
        <v>-679208356</v>
      </c>
      <c r="AK36">
        <v>-756679242</v>
      </c>
      <c r="AL36">
        <v>-800398346</v>
      </c>
      <c r="AM36">
        <v>-636073155</v>
      </c>
    </row>
    <row r="37" spans="1:39" ht="15.6" x14ac:dyDescent="0.3">
      <c r="A37" t="s">
        <v>157</v>
      </c>
      <c r="B37">
        <v>-2486354804.3881617</v>
      </c>
      <c r="C37">
        <v>-2198029679.3881617</v>
      </c>
      <c r="D37">
        <v>-2471058867.0007906</v>
      </c>
      <c r="E37">
        <v>-1808841157.5461884</v>
      </c>
      <c r="F37">
        <v>-1596536839.1094525</v>
      </c>
      <c r="G37">
        <v>-1111723948.3830647</v>
      </c>
      <c r="H37">
        <v>-1208029786.5772648</v>
      </c>
      <c r="I37">
        <v>-1505329146.7872782</v>
      </c>
      <c r="J37">
        <v>-2100728353.4784627</v>
      </c>
      <c r="K37">
        <v>-1772923721.9071429</v>
      </c>
      <c r="O37">
        <v>-946753843.35582829</v>
      </c>
    </row>
    <row r="38" spans="1:39" ht="15.6" x14ac:dyDescent="0.3">
      <c r="A38" t="s">
        <v>158</v>
      </c>
      <c r="B38">
        <v>8198235526.0198269</v>
      </c>
      <c r="C38">
        <v>8271071897.0198269</v>
      </c>
      <c r="D38">
        <v>5181163239.5417185</v>
      </c>
      <c r="E38">
        <v>5487120211.4853592</v>
      </c>
      <c r="F38">
        <v>5874916215.566185</v>
      </c>
      <c r="G38">
        <v>6767559242.0076046</v>
      </c>
      <c r="H38">
        <v>10215838809.549963</v>
      </c>
      <c r="I38">
        <v>11523460017.976349</v>
      </c>
      <c r="J38">
        <v>13851772466.641834</v>
      </c>
      <c r="K38">
        <v>14851497511.145161</v>
      </c>
      <c r="O38">
        <v>16962875052.99404</v>
      </c>
      <c r="P38">
        <v>6316633261</v>
      </c>
      <c r="Q38">
        <v>4854511893</v>
      </c>
      <c r="R38">
        <v>3693751685</v>
      </c>
      <c r="S38">
        <v>2400326631</v>
      </c>
      <c r="T38">
        <v>1297927912</v>
      </c>
      <c r="U38">
        <v>1071940790</v>
      </c>
      <c r="V38">
        <v>879791757</v>
      </c>
      <c r="W38">
        <v>706829016</v>
      </c>
      <c r="X38">
        <v>668591369</v>
      </c>
      <c r="Y38">
        <v>618005060</v>
      </c>
      <c r="Z38">
        <v>551203930</v>
      </c>
      <c r="AA38">
        <v>551452721</v>
      </c>
      <c r="AB38">
        <v>416494284</v>
      </c>
      <c r="AC38">
        <v>345835070</v>
      </c>
      <c r="AD38">
        <v>246132600</v>
      </c>
      <c r="AE38">
        <v>179777248</v>
      </c>
      <c r="AF38">
        <v>401706191</v>
      </c>
      <c r="AG38">
        <v>526126404</v>
      </c>
      <c r="AH38">
        <v>468220837</v>
      </c>
      <c r="AI38">
        <v>346430992</v>
      </c>
      <c r="AJ38">
        <v>-238933058</v>
      </c>
      <c r="AK38">
        <v>-513890743</v>
      </c>
      <c r="AL38">
        <v>-529409970</v>
      </c>
      <c r="AM38">
        <v>-421162305</v>
      </c>
    </row>
    <row r="39" spans="1:39" ht="15.6" x14ac:dyDescent="0.3"/>
    <row r="40" spans="1:39" ht="15.6" x14ac:dyDescent="0.3">
      <c r="A40" t="s">
        <v>159</v>
      </c>
      <c r="B40">
        <v>-3339734153.7016225</v>
      </c>
      <c r="C40">
        <v>-3483642021.7016225</v>
      </c>
      <c r="D40">
        <v>-2628991356.1199322</v>
      </c>
      <c r="E40">
        <v>-2739657562.7124944</v>
      </c>
      <c r="F40">
        <v>-2712745569.5965748</v>
      </c>
      <c r="G40">
        <v>-2520944676.0755749</v>
      </c>
      <c r="H40">
        <v>-507635533.28721046</v>
      </c>
      <c r="I40">
        <v>-1459533342.2040541</v>
      </c>
      <c r="J40">
        <v>-2433655097.5829849</v>
      </c>
      <c r="K40">
        <v>-2153764723.9838705</v>
      </c>
      <c r="O40">
        <v>-3910086952.2972279</v>
      </c>
      <c r="P40">
        <v>-1149902215</v>
      </c>
      <c r="Q40">
        <v>-921861318</v>
      </c>
      <c r="R40">
        <v>-830322346</v>
      </c>
      <c r="S40">
        <v>-565239976</v>
      </c>
      <c r="T40">
        <v>-252911073</v>
      </c>
      <c r="U40">
        <v>-249879628</v>
      </c>
      <c r="V40">
        <v>-187089541</v>
      </c>
      <c r="W40">
        <v>-148824227</v>
      </c>
      <c r="X40">
        <v>-115192465</v>
      </c>
      <c r="Y40">
        <v>-100189879</v>
      </c>
      <c r="Z40">
        <v>-96694349</v>
      </c>
      <c r="AA40">
        <v>-96109432</v>
      </c>
      <c r="AB40">
        <v>-46424943</v>
      </c>
      <c r="AC40">
        <v>-51428504</v>
      </c>
      <c r="AD40">
        <v>-35924325</v>
      </c>
      <c r="AE40">
        <v>-29298814</v>
      </c>
      <c r="AF40">
        <v>-1265632</v>
      </c>
      <c r="AG40">
        <v>27230340</v>
      </c>
      <c r="AH40">
        <v>53379312</v>
      </c>
      <c r="AI40">
        <v>43143042</v>
      </c>
      <c r="AJ40">
        <v>77570175</v>
      </c>
      <c r="AK40">
        <v>82505298</v>
      </c>
      <c r="AL40">
        <v>72162949</v>
      </c>
      <c r="AM40">
        <v>58305896</v>
      </c>
    </row>
    <row r="41" spans="1:39" ht="15.6" x14ac:dyDescent="0.3">
      <c r="A41" t="s">
        <v>160</v>
      </c>
      <c r="B41">
        <v>-2059747936.8521147</v>
      </c>
      <c r="C41">
        <v>-2100742354.8521147</v>
      </c>
      <c r="D41">
        <v>-2565589699.0149765</v>
      </c>
      <c r="E41">
        <v>-2689751218.4085822</v>
      </c>
      <c r="F41">
        <v>-2820184075.9756842</v>
      </c>
      <c r="G41">
        <v>-2684607230.9184461</v>
      </c>
      <c r="H41">
        <v>-3179376685.2446747</v>
      </c>
      <c r="I41">
        <v>-3564439519.2565217</v>
      </c>
      <c r="J41">
        <v>-4539284567.9910994</v>
      </c>
      <c r="K41">
        <v>-5127485055.3491497</v>
      </c>
      <c r="O41">
        <v>-4721062954.5843344</v>
      </c>
      <c r="P41">
        <v>-1457114527</v>
      </c>
      <c r="Q41">
        <v>-1207152233</v>
      </c>
      <c r="R41">
        <v>-1085234494</v>
      </c>
      <c r="S41">
        <v>-746816270</v>
      </c>
      <c r="T41">
        <v>-354483426</v>
      </c>
      <c r="U41">
        <v>-298123257</v>
      </c>
      <c r="V41">
        <v>-212847834</v>
      </c>
      <c r="W41">
        <v>-180742077</v>
      </c>
      <c r="X41">
        <v>-177587450</v>
      </c>
      <c r="Y41">
        <v>-152841650</v>
      </c>
      <c r="Z41">
        <v>-147893115</v>
      </c>
      <c r="AA41">
        <v>-147722478</v>
      </c>
      <c r="AB41">
        <v>-79632780</v>
      </c>
      <c r="AC41">
        <v>-75264749</v>
      </c>
      <c r="AD41">
        <v>-71310469</v>
      </c>
      <c r="AE41">
        <v>-67892244</v>
      </c>
      <c r="AF41">
        <v>-36186478</v>
      </c>
      <c r="AG41">
        <v>-25127703</v>
      </c>
      <c r="AH41">
        <v>-3514779</v>
      </c>
      <c r="AI41">
        <v>-4532705</v>
      </c>
      <c r="AJ41">
        <v>-15940372</v>
      </c>
      <c r="AK41">
        <v>-14272499</v>
      </c>
      <c r="AL41">
        <v>-14399564</v>
      </c>
      <c r="AM41">
        <v>-15498189</v>
      </c>
    </row>
    <row r="42" spans="1:39" ht="15.6" x14ac:dyDescent="0.3">
      <c r="A42" t="s">
        <v>161</v>
      </c>
      <c r="B42">
        <v>-1279986216.8495078</v>
      </c>
      <c r="C42">
        <v>-1382899666.8495078</v>
      </c>
      <c r="D42">
        <v>-63401657.104955137</v>
      </c>
      <c r="E42">
        <v>-49906344.303911984</v>
      </c>
      <c r="F42">
        <v>107438506.37910974</v>
      </c>
      <c r="G42">
        <v>163662554.84287125</v>
      </c>
      <c r="H42">
        <v>2671741151.9574647</v>
      </c>
      <c r="I42">
        <v>2104906177.0524683</v>
      </c>
      <c r="J42">
        <v>2105629470.4081147</v>
      </c>
      <c r="K42">
        <v>2973720331.3652792</v>
      </c>
      <c r="O42">
        <v>810976002.28710651</v>
      </c>
      <c r="P42">
        <v>307212312</v>
      </c>
      <c r="Q42">
        <v>285290915</v>
      </c>
      <c r="R42">
        <v>254912148</v>
      </c>
      <c r="S42">
        <v>181576294</v>
      </c>
      <c r="T42">
        <v>101572353</v>
      </c>
      <c r="U42">
        <v>48243629</v>
      </c>
      <c r="V42">
        <v>25758293</v>
      </c>
      <c r="W42">
        <v>31917850</v>
      </c>
      <c r="X42">
        <v>62394985</v>
      </c>
      <c r="Y42">
        <v>52651771</v>
      </c>
      <c r="Z42">
        <v>51198766</v>
      </c>
      <c r="AA42">
        <v>51613046</v>
      </c>
      <c r="AB42">
        <v>33207837</v>
      </c>
      <c r="AC42">
        <v>23836245</v>
      </c>
      <c r="AD42">
        <v>35386144</v>
      </c>
      <c r="AE42">
        <v>38593430</v>
      </c>
      <c r="AF42">
        <v>34920846</v>
      </c>
      <c r="AG42">
        <v>52358043</v>
      </c>
      <c r="AH42">
        <v>56894091</v>
      </c>
      <c r="AI42">
        <v>47675747</v>
      </c>
      <c r="AJ42">
        <v>93510547</v>
      </c>
      <c r="AK42">
        <v>96777797</v>
      </c>
      <c r="AL42">
        <v>86562513</v>
      </c>
      <c r="AM42">
        <v>73804085</v>
      </c>
    </row>
    <row r="43" spans="1:39" ht="15.6" x14ac:dyDescent="0.3">
      <c r="A43" t="s">
        <v>162</v>
      </c>
      <c r="B43">
        <v>4858501372.3182049</v>
      </c>
      <c r="C43">
        <v>4787429875.3182049</v>
      </c>
      <c r="D43">
        <v>2552171883.4217858</v>
      </c>
      <c r="E43">
        <v>2747462648.7728643</v>
      </c>
      <c r="F43">
        <v>3162170645.9696102</v>
      </c>
      <c r="G43">
        <v>4246614565.9320292</v>
      </c>
      <c r="H43">
        <v>9708203276.2627525</v>
      </c>
      <c r="I43">
        <v>10063926675.772295</v>
      </c>
      <c r="J43">
        <v>11418117369.058847</v>
      </c>
      <c r="K43">
        <v>12697732787.161289</v>
      </c>
      <c r="O43">
        <v>13052788100.696812</v>
      </c>
      <c r="P43">
        <v>5166731046</v>
      </c>
      <c r="Q43">
        <v>3932650575</v>
      </c>
      <c r="R43">
        <v>2863429339</v>
      </c>
      <c r="S43">
        <v>1835086655</v>
      </c>
      <c r="T43">
        <v>1045016839</v>
      </c>
      <c r="U43">
        <v>822061162</v>
      </c>
      <c r="V43">
        <v>692702216</v>
      </c>
      <c r="W43">
        <v>558004789</v>
      </c>
      <c r="X43">
        <v>553398904</v>
      </c>
      <c r="Y43">
        <v>517815181</v>
      </c>
      <c r="Z43">
        <v>454509581</v>
      </c>
      <c r="AA43">
        <v>455343289</v>
      </c>
      <c r="AB43">
        <v>370069341</v>
      </c>
      <c r="AC43">
        <v>294406566</v>
      </c>
      <c r="AD43">
        <v>210208275</v>
      </c>
      <c r="AE43">
        <v>150478434</v>
      </c>
      <c r="AF43">
        <v>400440559</v>
      </c>
      <c r="AG43">
        <v>553356744</v>
      </c>
      <c r="AH43">
        <v>521600149</v>
      </c>
      <c r="AI43">
        <v>389574034</v>
      </c>
      <c r="AJ43">
        <v>-161362883</v>
      </c>
      <c r="AK43">
        <v>-431385445</v>
      </c>
      <c r="AL43">
        <v>-457247021</v>
      </c>
      <c r="AM43">
        <v>-362856409</v>
      </c>
    </row>
    <row r="44" spans="1:39" ht="15.6" x14ac:dyDescent="0.3">
      <c r="A44" t="s">
        <v>163</v>
      </c>
    </row>
    <row r="45" spans="1:39" ht="15.6" x14ac:dyDescent="0.3"/>
    <row r="46" spans="1:39" ht="15.6" x14ac:dyDescent="0.3">
      <c r="A46" t="s">
        <v>164</v>
      </c>
      <c r="B46" s="2">
        <v>4858501372.3182049</v>
      </c>
      <c r="C46">
        <v>4787429875.3182049</v>
      </c>
      <c r="D46">
        <v>2552171883.4217858</v>
      </c>
      <c r="E46">
        <v>2747462648.7728643</v>
      </c>
      <c r="F46">
        <v>3162170645.9696102</v>
      </c>
      <c r="G46">
        <v>4246614565.9320292</v>
      </c>
      <c r="H46">
        <v>9708203276.2627525</v>
      </c>
      <c r="I46">
        <v>10063926675.772295</v>
      </c>
      <c r="J46">
        <v>11418117369.058847</v>
      </c>
      <c r="K46">
        <v>12697732787.161289</v>
      </c>
      <c r="O46">
        <v>13052788100.696812</v>
      </c>
      <c r="P46">
        <v>5166731046</v>
      </c>
      <c r="Q46">
        <v>3932650575</v>
      </c>
      <c r="R46">
        <v>2863429339</v>
      </c>
      <c r="S46">
        <v>1835086655</v>
      </c>
      <c r="T46">
        <v>1045016839</v>
      </c>
      <c r="U46">
        <v>822061162</v>
      </c>
      <c r="V46">
        <v>692702216</v>
      </c>
      <c r="W46">
        <v>558004789</v>
      </c>
      <c r="X46">
        <v>553398904</v>
      </c>
      <c r="Y46">
        <v>517815181</v>
      </c>
      <c r="Z46">
        <v>454509581</v>
      </c>
      <c r="AA46">
        <v>455343289</v>
      </c>
      <c r="AB46">
        <v>370069341</v>
      </c>
      <c r="AC46">
        <v>294406566</v>
      </c>
      <c r="AD46">
        <v>210208275</v>
      </c>
      <c r="AE46">
        <v>150478434</v>
      </c>
      <c r="AF46">
        <v>400440559</v>
      </c>
      <c r="AG46">
        <v>553356744</v>
      </c>
      <c r="AH46">
        <v>521600149</v>
      </c>
      <c r="AI46">
        <v>389574034</v>
      </c>
      <c r="AJ46">
        <v>-161362883</v>
      </c>
      <c r="AK46">
        <v>-431385445</v>
      </c>
      <c r="AL46">
        <v>-457247021</v>
      </c>
      <c r="AM46">
        <v>-362856409</v>
      </c>
    </row>
    <row r="47" spans="1:39" ht="15.6" x14ac:dyDescent="0.3">
      <c r="A47" t="s">
        <v>120</v>
      </c>
      <c r="B47" s="2">
        <v>796483587.20917106</v>
      </c>
      <c r="C47">
        <v>768283194.20917106</v>
      </c>
      <c r="D47">
        <v>419945059.73096645</v>
      </c>
      <c r="E47">
        <v>702331829.20967925</v>
      </c>
      <c r="F47">
        <v>1061409796.4053454</v>
      </c>
      <c r="G47">
        <v>1355460559.6052899</v>
      </c>
      <c r="H47">
        <v>1758329621.0862846</v>
      </c>
      <c r="I47">
        <v>1892747743.6551883</v>
      </c>
      <c r="J47">
        <v>1574870965.9543123</v>
      </c>
      <c r="K47">
        <v>1267057834.102371</v>
      </c>
      <c r="O47">
        <v>1445443673.1106713</v>
      </c>
      <c r="P47">
        <v>387493026</v>
      </c>
      <c r="Q47">
        <v>282358534</v>
      </c>
      <c r="R47">
        <v>215509074</v>
      </c>
      <c r="S47">
        <v>155336870</v>
      </c>
      <c r="T47">
        <v>117175643</v>
      </c>
      <c r="U47">
        <v>86400846</v>
      </c>
      <c r="V47">
        <v>89466421</v>
      </c>
      <c r="W47">
        <v>87968818</v>
      </c>
      <c r="X47">
        <v>43212975</v>
      </c>
      <c r="Y47">
        <v>73909454</v>
      </c>
      <c r="Z47">
        <v>101853060</v>
      </c>
      <c r="AA47">
        <v>126160389</v>
      </c>
      <c r="AB47">
        <v>185129605</v>
      </c>
      <c r="AC47">
        <v>177476728</v>
      </c>
      <c r="AD47">
        <v>146029115</v>
      </c>
      <c r="AE47">
        <v>124384363</v>
      </c>
      <c r="AF47">
        <v>103629508</v>
      </c>
      <c r="AG47">
        <v>91489495</v>
      </c>
      <c r="AH47">
        <v>68315256</v>
      </c>
      <c r="AI47">
        <v>32263270</v>
      </c>
      <c r="AJ47">
        <v>40920720</v>
      </c>
      <c r="AK47">
        <v>9373129</v>
      </c>
      <c r="AL47">
        <v>-114057</v>
      </c>
      <c r="AM47">
        <v>386452</v>
      </c>
    </row>
    <row r="48" spans="1:39" ht="15.6" x14ac:dyDescent="0.3">
      <c r="A48" t="s">
        <v>165</v>
      </c>
      <c r="B48" s="2">
        <v>4062017785.1090336</v>
      </c>
      <c r="C48" s="2">
        <v>4019146681.1090336</v>
      </c>
      <c r="D48" s="2">
        <v>2132226823.6908202</v>
      </c>
      <c r="E48" s="2">
        <v>2045130819.5631857</v>
      </c>
      <c r="F48">
        <v>2100760849.5642645</v>
      </c>
      <c r="G48">
        <v>2891154006.3267393</v>
      </c>
      <c r="H48">
        <v>7949873655.1764698</v>
      </c>
      <c r="I48">
        <v>8171178932.1171093</v>
      </c>
      <c r="J48">
        <v>9843246403.1045361</v>
      </c>
      <c r="K48">
        <v>11430674953.05892</v>
      </c>
      <c r="O48">
        <v>11607344427.586145</v>
      </c>
      <c r="P48">
        <v>4779238020</v>
      </c>
      <c r="Q48">
        <v>3650292041</v>
      </c>
      <c r="R48">
        <v>2647920265</v>
      </c>
      <c r="S48">
        <v>1679749785</v>
      </c>
      <c r="T48">
        <v>927841196</v>
      </c>
      <c r="U48">
        <v>735660316</v>
      </c>
      <c r="V48">
        <v>603235795</v>
      </c>
      <c r="W48">
        <v>470035971</v>
      </c>
      <c r="X48">
        <v>510185929</v>
      </c>
      <c r="Y48">
        <v>443905727</v>
      </c>
      <c r="Z48">
        <v>352656521</v>
      </c>
      <c r="AA48">
        <v>329182900</v>
      </c>
      <c r="AB48">
        <v>184939736</v>
      </c>
      <c r="AC48">
        <v>116929838</v>
      </c>
      <c r="AD48">
        <v>64179160</v>
      </c>
      <c r="AE48">
        <v>26094071</v>
      </c>
      <c r="AF48">
        <v>296811051</v>
      </c>
      <c r="AG48">
        <v>461867249</v>
      </c>
      <c r="AH48">
        <v>453284893</v>
      </c>
      <c r="AI48">
        <v>357310764</v>
      </c>
      <c r="AJ48">
        <v>-202283603</v>
      </c>
      <c r="AK48">
        <v>-440758574</v>
      </c>
      <c r="AL48">
        <v>-457132964</v>
      </c>
      <c r="AM48">
        <v>-363242861</v>
      </c>
    </row>
    <row r="49" spans="1:39" ht="15.6" x14ac:dyDescent="0.3"/>
    <row r="50" spans="1:39" ht="15.6" x14ac:dyDescent="0.3">
      <c r="A50" t="s">
        <v>166</v>
      </c>
      <c r="B50">
        <v>3725068119.0864263</v>
      </c>
      <c r="C50">
        <v>3617256231.0864263</v>
      </c>
      <c r="D50">
        <v>3167276820.482532</v>
      </c>
      <c r="E50">
        <v>3040923213.7910843</v>
      </c>
      <c r="F50">
        <v>2907845423.4580431</v>
      </c>
      <c r="G50">
        <v>2903158416.8448009</v>
      </c>
      <c r="H50">
        <v>3256559578.110465</v>
      </c>
      <c r="I50">
        <v>3220831529.8038225</v>
      </c>
      <c r="J50">
        <v>3228245275.6723533</v>
      </c>
      <c r="K50">
        <v>3217036000.57477</v>
      </c>
      <c r="O50">
        <v>4981127582.4918518</v>
      </c>
      <c r="P50">
        <v>1217506997</v>
      </c>
      <c r="Q50">
        <v>901772809</v>
      </c>
      <c r="R50">
        <v>708278991</v>
      </c>
      <c r="S50">
        <v>567944040</v>
      </c>
      <c r="T50">
        <v>523106990</v>
      </c>
      <c r="U50">
        <v>502539528</v>
      </c>
      <c r="V50">
        <v>479044704</v>
      </c>
      <c r="W50">
        <v>465598364</v>
      </c>
      <c r="X50">
        <v>469393491</v>
      </c>
      <c r="Y50">
        <v>477599326</v>
      </c>
      <c r="Z50">
        <v>481885785</v>
      </c>
      <c r="AA50">
        <v>485469510</v>
      </c>
      <c r="AB50">
        <v>441528948</v>
      </c>
      <c r="AC50">
        <v>427682811</v>
      </c>
      <c r="AD50">
        <v>415672519</v>
      </c>
      <c r="AE50">
        <v>394018340</v>
      </c>
      <c r="AF50">
        <v>371599127</v>
      </c>
      <c r="AG50">
        <v>317009915</v>
      </c>
      <c r="AH50">
        <v>272605255</v>
      </c>
      <c r="AI50">
        <v>225000266</v>
      </c>
      <c r="AJ50">
        <v>207857158</v>
      </c>
      <c r="AK50">
        <v>201949783</v>
      </c>
      <c r="AL50">
        <v>186013530</v>
      </c>
      <c r="AM50">
        <v>185212649</v>
      </c>
    </row>
    <row r="53" spans="1:39" x14ac:dyDescent="0.3">
      <c r="B53" t="s">
        <v>270</v>
      </c>
      <c r="C53" t="s">
        <v>271</v>
      </c>
      <c r="D53" t="s">
        <v>272</v>
      </c>
      <c r="E53" t="s">
        <v>273</v>
      </c>
    </row>
    <row r="54" spans="1:39" x14ac:dyDescent="0.3">
      <c r="B54" s="1">
        <f>Bilanço!B86</f>
        <v>64142566183</v>
      </c>
      <c r="C54" s="2">
        <f>AVERAGE(Bilanço!B86:C86)</f>
        <v>64841062807</v>
      </c>
      <c r="D54" s="2">
        <f>AVERAGE(Bilanço!B86,Bilanço!E86)</f>
        <v>62279285774.024261</v>
      </c>
      <c r="E54" s="2">
        <f>AVERAGE(Bilanço!B86,Bilanço!F86)</f>
        <v>61642808563.830559</v>
      </c>
    </row>
    <row r="56" spans="1:39" x14ac:dyDescent="0.3">
      <c r="B56" s="3">
        <f>B48/B54</f>
        <v>6.3327958746147092E-2</v>
      </c>
      <c r="C56" s="3">
        <f>B48/C54</f>
        <v>6.2645761948715517E-2</v>
      </c>
      <c r="D56" s="3">
        <f>B48/D54</f>
        <v>6.5222613500221599E-2</v>
      </c>
      <c r="E56" s="3">
        <f>B48/E54</f>
        <v>6.5896053079782232E-2</v>
      </c>
    </row>
  </sheetData>
  <pageMargins left="0.7" right="0.7" top="0.75" bottom="0.75" header="0.3" footer="0.3"/>
  <ignoredErrors>
    <ignoredError sqref="A1:AP5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29"/>
  <sheetViews>
    <sheetView workbookViewId="0"/>
  </sheetViews>
  <sheetFormatPr defaultRowHeight="14.4" outlineLevelCol="2" x14ac:dyDescent="0.3"/>
  <cols>
    <col min="1" max="1" width="40" customWidth="1" outlineLevel="2"/>
    <col min="2" max="42" width="20" customWidth="1"/>
  </cols>
  <sheetData>
    <row r="1" spans="1:4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124</v>
      </c>
    </row>
    <row r="2" spans="1:42" ht="15.6" x14ac:dyDescent="0.3">
      <c r="A2" t="s">
        <v>125</v>
      </c>
    </row>
    <row r="3" spans="1:42" ht="15.6" x14ac:dyDescent="0.3">
      <c r="A3" t="s">
        <v>167</v>
      </c>
      <c r="B3">
        <v>3547222952</v>
      </c>
      <c r="C3">
        <v>12987582865.307556</v>
      </c>
      <c r="D3">
        <v>8300513380.336812</v>
      </c>
      <c r="E3">
        <v>7620044510.5982943</v>
      </c>
      <c r="F3">
        <v>5217450268</v>
      </c>
      <c r="G3">
        <v>18153923003.421299</v>
      </c>
      <c r="H3">
        <v>20871610185.472229</v>
      </c>
      <c r="I3">
        <v>10574410068.080072</v>
      </c>
      <c r="J3">
        <v>4399166034.0152435</v>
      </c>
      <c r="K3">
        <v>10950469799.329779</v>
      </c>
      <c r="L3">
        <v>9524821622.5256042</v>
      </c>
      <c r="M3">
        <v>8593937651.7665749</v>
      </c>
      <c r="N3">
        <v>5108453564.6710367</v>
      </c>
      <c r="O3">
        <v>1406852830.9774656</v>
      </c>
      <c r="P3">
        <v>943661470</v>
      </c>
      <c r="Q3">
        <v>497345376</v>
      </c>
      <c r="R3">
        <v>-298841714</v>
      </c>
      <c r="S3">
        <v>917530147</v>
      </c>
      <c r="T3">
        <v>540685790</v>
      </c>
      <c r="U3">
        <v>-28983919</v>
      </c>
      <c r="V3">
        <v>346229380</v>
      </c>
      <c r="W3">
        <v>1226647112</v>
      </c>
      <c r="X3">
        <v>1170734801</v>
      </c>
      <c r="Y3">
        <v>833271302</v>
      </c>
      <c r="Z3">
        <v>247707204</v>
      </c>
      <c r="AA3">
        <v>810153303</v>
      </c>
      <c r="AB3">
        <v>476715413</v>
      </c>
      <c r="AC3">
        <v>564390496</v>
      </c>
      <c r="AD3">
        <v>93902251</v>
      </c>
      <c r="AE3">
        <v>-244838660</v>
      </c>
      <c r="AF3">
        <v>-487811993</v>
      </c>
      <c r="AG3">
        <v>-247677763</v>
      </c>
      <c r="AH3">
        <v>-124115763</v>
      </c>
      <c r="AI3">
        <v>228373156</v>
      </c>
      <c r="AJ3">
        <v>391120336</v>
      </c>
      <c r="AK3">
        <v>320075574</v>
      </c>
      <c r="AL3">
        <v>129840974</v>
      </c>
      <c r="AM3">
        <v>-181838285</v>
      </c>
      <c r="AN3">
        <v>91252103</v>
      </c>
      <c r="AO3">
        <v>236953271</v>
      </c>
      <c r="AP3">
        <v>407223138</v>
      </c>
    </row>
    <row r="4" spans="1:42" ht="15.6" x14ac:dyDescent="0.3">
      <c r="A4" t="s">
        <v>164</v>
      </c>
      <c r="B4">
        <v>795959146</v>
      </c>
      <c r="C4">
        <v>4787429875.3182049</v>
      </c>
      <c r="D4">
        <v>3287237950.0838909</v>
      </c>
      <c r="E4">
        <v>2063684302.015178</v>
      </c>
      <c r="F4">
        <v>724887649</v>
      </c>
      <c r="G4">
        <v>4246614565.9320292</v>
      </c>
      <c r="H4">
        <v>4981680632.5941343</v>
      </c>
      <c r="I4">
        <v>3562836219.1743426</v>
      </c>
      <c r="J4">
        <v>1809344944.9559853</v>
      </c>
      <c r="K4">
        <v>12697732787.161289</v>
      </c>
      <c r="L4">
        <v>7971210143.4926701</v>
      </c>
      <c r="M4">
        <v>6196642330.5633364</v>
      </c>
      <c r="N4">
        <v>3089086196.7669744</v>
      </c>
      <c r="O4">
        <v>13052788100.696812</v>
      </c>
      <c r="P4">
        <v>4266295815</v>
      </c>
      <c r="Q4">
        <v>2652721537</v>
      </c>
      <c r="R4">
        <v>1270245971</v>
      </c>
      <c r="S4">
        <v>1835086655</v>
      </c>
      <c r="T4">
        <v>934651424</v>
      </c>
      <c r="U4">
        <v>555157617</v>
      </c>
      <c r="V4">
        <v>241903287</v>
      </c>
      <c r="W4">
        <v>558004789</v>
      </c>
      <c r="X4">
        <v>447639374</v>
      </c>
      <c r="Y4">
        <v>291101244</v>
      </c>
      <c r="Z4">
        <v>107205860</v>
      </c>
      <c r="AA4">
        <v>455343289</v>
      </c>
      <c r="AB4">
        <v>349583759</v>
      </c>
      <c r="AC4">
        <v>228629352</v>
      </c>
      <c r="AD4">
        <v>108039568</v>
      </c>
      <c r="AE4">
        <v>150478434</v>
      </c>
      <c r="AF4">
        <v>129992852</v>
      </c>
      <c r="AG4">
        <v>84701220</v>
      </c>
      <c r="AH4">
        <v>48309727</v>
      </c>
      <c r="AI4">
        <v>389574034</v>
      </c>
      <c r="AJ4">
        <v>119126327</v>
      </c>
      <c r="AK4">
        <v>-79081490</v>
      </c>
      <c r="AL4">
        <v>-83716388</v>
      </c>
      <c r="AM4">
        <v>-362856409</v>
      </c>
      <c r="AN4">
        <v>-82367199</v>
      </c>
      <c r="AO4">
        <v>-10552454</v>
      </c>
      <c r="AP4">
        <v>9894731</v>
      </c>
    </row>
    <row r="5" spans="1:42" ht="15.6" x14ac:dyDescent="0.3">
      <c r="A5" t="s">
        <v>168</v>
      </c>
      <c r="B5">
        <v>3024887189</v>
      </c>
      <c r="C5">
        <v>11284431171.391941</v>
      </c>
      <c r="D5">
        <v>9368759871.2904892</v>
      </c>
      <c r="E5">
        <v>7506494211.6705227</v>
      </c>
      <c r="F5">
        <v>4172562603</v>
      </c>
      <c r="G5">
        <v>11619782442.528984</v>
      </c>
      <c r="H5">
        <v>9720770941.8403549</v>
      </c>
      <c r="I5">
        <v>6441070003.3103695</v>
      </c>
      <c r="J5">
        <v>3137107743.4211779</v>
      </c>
      <c r="K5">
        <v>9127064688.0819206</v>
      </c>
      <c r="L5">
        <v>10760999069.58083</v>
      </c>
      <c r="M5">
        <v>11154864100.410997</v>
      </c>
      <c r="N5">
        <v>2381669709.4608765</v>
      </c>
      <c r="O5">
        <v>5386353626.5471077</v>
      </c>
      <c r="P5">
        <v>374489518</v>
      </c>
      <c r="Q5">
        <v>834130484</v>
      </c>
      <c r="R5">
        <v>256588159</v>
      </c>
      <c r="S5">
        <v>1323518205</v>
      </c>
      <c r="T5">
        <v>1151733034</v>
      </c>
      <c r="U5">
        <v>945003296</v>
      </c>
      <c r="V5">
        <v>430508453</v>
      </c>
      <c r="W5">
        <v>1012568988</v>
      </c>
      <c r="X5">
        <v>1303503824</v>
      </c>
      <c r="Y5">
        <v>876462809</v>
      </c>
      <c r="Z5">
        <v>281650969</v>
      </c>
      <c r="AA5">
        <v>654325805</v>
      </c>
      <c r="AB5">
        <v>1259293134</v>
      </c>
      <c r="AC5">
        <v>890213206</v>
      </c>
      <c r="AD5">
        <v>450537614</v>
      </c>
      <c r="AE5">
        <v>985093449</v>
      </c>
      <c r="AF5">
        <v>1131680596</v>
      </c>
      <c r="AG5">
        <v>569433523</v>
      </c>
      <c r="AH5">
        <v>159015682</v>
      </c>
      <c r="AI5">
        <v>239433844</v>
      </c>
      <c r="AJ5">
        <v>243713901</v>
      </c>
      <c r="AK5">
        <v>182458623</v>
      </c>
      <c r="AL5">
        <v>133678237</v>
      </c>
      <c r="AM5">
        <v>685347456</v>
      </c>
      <c r="AN5">
        <v>373953916</v>
      </c>
      <c r="AO5">
        <v>209858119</v>
      </c>
      <c r="AP5">
        <v>154830771</v>
      </c>
    </row>
    <row r="6" spans="1:42" ht="15.6" x14ac:dyDescent="0.3">
      <c r="A6" t="s">
        <v>169</v>
      </c>
      <c r="B6">
        <v>977320046</v>
      </c>
      <c r="C6">
        <v>3617256231.0864263</v>
      </c>
      <c r="D6">
        <v>2651087822.701849</v>
      </c>
      <c r="E6">
        <v>1802117038.5383873</v>
      </c>
      <c r="F6">
        <v>869508158</v>
      </c>
      <c r="G6">
        <v>2903158416.8448009</v>
      </c>
      <c r="H6">
        <v>2386969419.0641179</v>
      </c>
      <c r="I6">
        <v>1664352241.5921037</v>
      </c>
      <c r="J6">
        <v>864821151.38675797</v>
      </c>
      <c r="K6">
        <v>3217036000.57477</v>
      </c>
      <c r="L6">
        <v>2347445841.5284228</v>
      </c>
      <c r="M6">
        <v>1660556712.3630509</v>
      </c>
      <c r="N6">
        <v>853611876.28917444</v>
      </c>
      <c r="O6">
        <v>4981127582.4918518</v>
      </c>
      <c r="P6">
        <v>1048473268</v>
      </c>
      <c r="Q6">
        <v>592264926</v>
      </c>
      <c r="R6">
        <v>262850016</v>
      </c>
      <c r="S6">
        <v>567944040</v>
      </c>
      <c r="T6">
        <v>398910311</v>
      </c>
      <c r="U6">
        <v>258436157</v>
      </c>
      <c r="V6">
        <v>122515065</v>
      </c>
      <c r="W6">
        <v>465598364</v>
      </c>
      <c r="X6">
        <v>341401685</v>
      </c>
      <c r="Y6">
        <v>221494993</v>
      </c>
      <c r="Z6">
        <v>109068725</v>
      </c>
      <c r="AA6">
        <v>485469510</v>
      </c>
      <c r="AB6">
        <v>357477704</v>
      </c>
      <c r="AC6">
        <v>229365177</v>
      </c>
      <c r="AD6">
        <v>112652450</v>
      </c>
      <c r="AE6">
        <v>394018340</v>
      </c>
      <c r="AF6">
        <v>309967096</v>
      </c>
      <c r="AG6">
        <v>195700706</v>
      </c>
      <c r="AH6">
        <v>90998271</v>
      </c>
      <c r="AI6">
        <v>225000266</v>
      </c>
      <c r="AJ6">
        <v>163368235</v>
      </c>
      <c r="AK6">
        <v>103691057</v>
      </c>
      <c r="AL6">
        <v>43393282</v>
      </c>
      <c r="AM6">
        <v>185212649</v>
      </c>
      <c r="AN6">
        <v>140723726</v>
      </c>
      <c r="AO6">
        <v>86953923</v>
      </c>
      <c r="AP6">
        <v>42592401</v>
      </c>
    </row>
    <row r="7" spans="1:42" ht="15.6" x14ac:dyDescent="0.3">
      <c r="A7" t="s">
        <v>170</v>
      </c>
      <c r="B7">
        <v>59556652</v>
      </c>
      <c r="C7">
        <v>-1419077825.2576277</v>
      </c>
      <c r="D7">
        <v>-593881755.27719009</v>
      </c>
      <c r="E7">
        <v>-307073817.03276002</v>
      </c>
      <c r="F7">
        <v>-148080960</v>
      </c>
      <c r="G7">
        <v>651926696.8264848</v>
      </c>
      <c r="H7">
        <v>-230508500.02080053</v>
      </c>
      <c r="I7">
        <v>-63188600.768400185</v>
      </c>
      <c r="J7">
        <v>29825479.572719976</v>
      </c>
      <c r="K7">
        <v>955985411.88260972</v>
      </c>
      <c r="L7">
        <v>968855155.32271099</v>
      </c>
      <c r="M7">
        <v>805901026.19953525</v>
      </c>
      <c r="N7">
        <v>469298052.17309904</v>
      </c>
      <c r="O7">
        <v>5400463371.9952765</v>
      </c>
      <c r="P7">
        <v>35574423</v>
      </c>
      <c r="Q7">
        <v>29620842</v>
      </c>
      <c r="R7">
        <v>76924531</v>
      </c>
      <c r="S7">
        <v>17591328</v>
      </c>
      <c r="T7">
        <v>10722586</v>
      </c>
      <c r="U7">
        <v>10948704</v>
      </c>
      <c r="V7">
        <v>10738124</v>
      </c>
      <c r="W7">
        <v>10743045</v>
      </c>
      <c r="X7">
        <v>22753621</v>
      </c>
      <c r="Y7">
        <v>20358631</v>
      </c>
      <c r="Z7">
        <v>6091669</v>
      </c>
      <c r="AA7">
        <v>-5772916</v>
      </c>
      <c r="AB7">
        <v>1162590</v>
      </c>
      <c r="AC7">
        <v>13716975</v>
      </c>
      <c r="AF7">
        <v>0</v>
      </c>
      <c r="AN7">
        <v>0</v>
      </c>
    </row>
    <row r="8" spans="1:42" ht="15.6" x14ac:dyDescent="0.3">
      <c r="A8" t="s">
        <v>171</v>
      </c>
      <c r="B8">
        <v>33322284</v>
      </c>
      <c r="C8">
        <v>76103637.915842071</v>
      </c>
      <c r="D8">
        <v>42088601.686887108</v>
      </c>
      <c r="E8">
        <v>45904527.156955078</v>
      </c>
      <c r="F8">
        <v>23831027</v>
      </c>
      <c r="G8">
        <v>83798263.113968357</v>
      </c>
      <c r="H8">
        <v>80887206.175664201</v>
      </c>
      <c r="I8">
        <v>54758457.714804761</v>
      </c>
      <c r="J8">
        <v>27223052.799237818</v>
      </c>
      <c r="K8">
        <v>88291995.059157029</v>
      </c>
      <c r="L8">
        <v>79739089.509437263</v>
      </c>
      <c r="M8">
        <v>71532682.680967033</v>
      </c>
      <c r="N8">
        <v>27417181.356148951</v>
      </c>
      <c r="O8">
        <v>104442893.76843892</v>
      </c>
      <c r="P8">
        <v>11668265</v>
      </c>
      <c r="Q8">
        <v>8093506</v>
      </c>
      <c r="R8">
        <v>4396005</v>
      </c>
      <c r="S8">
        <v>4938481</v>
      </c>
      <c r="T8">
        <v>-2160273</v>
      </c>
      <c r="U8">
        <v>-1825823</v>
      </c>
      <c r="V8">
        <v>-2504936</v>
      </c>
      <c r="W8">
        <v>23111909</v>
      </c>
      <c r="X8">
        <v>3453270</v>
      </c>
      <c r="Y8">
        <v>2769405</v>
      </c>
      <c r="Z8">
        <v>1905157</v>
      </c>
      <c r="AA8">
        <v>4119964</v>
      </c>
      <c r="AB8">
        <v>1063127</v>
      </c>
      <c r="AC8">
        <v>439076</v>
      </c>
      <c r="AD8">
        <v>400884</v>
      </c>
      <c r="AE8">
        <v>1068441</v>
      </c>
      <c r="AF8">
        <v>726703</v>
      </c>
      <c r="AG8">
        <v>332611</v>
      </c>
      <c r="AH8">
        <v>332611</v>
      </c>
      <c r="AI8">
        <v>1737030</v>
      </c>
      <c r="AJ8">
        <v>1454883</v>
      </c>
      <c r="AK8">
        <v>814765</v>
      </c>
      <c r="AL8">
        <v>1092359</v>
      </c>
      <c r="AM8">
        <v>1712859</v>
      </c>
      <c r="AN8">
        <v>3132296</v>
      </c>
      <c r="AO8">
        <v>1175906</v>
      </c>
      <c r="AP8">
        <v>1017387</v>
      </c>
    </row>
    <row r="9" spans="1:42" ht="15.6" x14ac:dyDescent="0.3">
      <c r="A9" t="s">
        <v>172</v>
      </c>
    </row>
    <row r="10" spans="1:42" ht="15.6" x14ac:dyDescent="0.3">
      <c r="A10" t="s">
        <v>173</v>
      </c>
    </row>
    <row r="11" spans="1:42" ht="15.6" x14ac:dyDescent="0.3">
      <c r="A11" t="s">
        <v>174</v>
      </c>
    </row>
    <row r="12" spans="1:42" ht="15.6" x14ac:dyDescent="0.3">
      <c r="A12" t="s">
        <v>175</v>
      </c>
      <c r="B12">
        <v>313789227</v>
      </c>
      <c r="C12">
        <v>1221302346.6803267</v>
      </c>
      <c r="D12">
        <v>1037500572.7293553</v>
      </c>
      <c r="E12">
        <v>681342700.76408362</v>
      </c>
      <c r="F12">
        <v>258521575</v>
      </c>
      <c r="G12">
        <v>2447847989.8075056</v>
      </c>
      <c r="H12">
        <v>2209705896.2302375</v>
      </c>
      <c r="I12">
        <v>1407648297.7386796</v>
      </c>
      <c r="J12">
        <v>465125909.1152845</v>
      </c>
      <c r="K12">
        <v>933215628.96083152</v>
      </c>
      <c r="L12">
        <v>1013950851.3820977</v>
      </c>
      <c r="M12">
        <v>758510994.73140478</v>
      </c>
      <c r="N12">
        <v>331912091.55902165</v>
      </c>
      <c r="O12">
        <v>1861477679.4934437</v>
      </c>
      <c r="P12">
        <v>235881934</v>
      </c>
      <c r="Q12">
        <v>133150899</v>
      </c>
      <c r="R12">
        <v>40412498</v>
      </c>
      <c r="S12">
        <v>307506220</v>
      </c>
      <c r="T12">
        <v>205965630</v>
      </c>
      <c r="U12">
        <v>107312542</v>
      </c>
      <c r="V12">
        <v>69257148</v>
      </c>
      <c r="W12">
        <v>308912656</v>
      </c>
      <c r="X12">
        <v>208402301</v>
      </c>
      <c r="Y12">
        <v>155728108</v>
      </c>
      <c r="Z12">
        <v>94149338</v>
      </c>
      <c r="AA12">
        <v>343035742</v>
      </c>
      <c r="AB12">
        <v>417002228</v>
      </c>
      <c r="AC12">
        <v>245207988</v>
      </c>
      <c r="AD12">
        <v>175560557</v>
      </c>
      <c r="AE12">
        <v>500210223</v>
      </c>
      <c r="AF12">
        <v>322570114</v>
      </c>
      <c r="AG12">
        <v>188664990</v>
      </c>
      <c r="AH12">
        <v>100040717</v>
      </c>
      <c r="AI12">
        <v>375036989</v>
      </c>
      <c r="AJ12">
        <v>288422336</v>
      </c>
      <c r="AK12">
        <v>189528542</v>
      </c>
      <c r="AL12">
        <v>77302581</v>
      </c>
      <c r="AM12">
        <v>255259874</v>
      </c>
      <c r="AN12">
        <v>255027804</v>
      </c>
      <c r="AO12">
        <v>132789121</v>
      </c>
      <c r="AP12">
        <v>60421748</v>
      </c>
    </row>
    <row r="13" spans="1:42" ht="15.6" x14ac:dyDescent="0.3">
      <c r="A13" t="s">
        <v>176</v>
      </c>
    </row>
    <row r="14" spans="1:42" ht="15.6" x14ac:dyDescent="0.3">
      <c r="A14" t="s">
        <v>177</v>
      </c>
    </row>
    <row r="15" spans="1:42" ht="15.6" x14ac:dyDescent="0.3">
      <c r="A15" t="s">
        <v>178</v>
      </c>
      <c r="B15">
        <v>-315056341</v>
      </c>
      <c r="C15">
        <v>2339771018.3482885</v>
      </c>
      <c r="D15">
        <v>2133838518.3299813</v>
      </c>
      <c r="E15">
        <v>2514693828.9497252</v>
      </c>
      <c r="F15">
        <v>1308467898</v>
      </c>
      <c r="G15">
        <v>2347532195.9710803</v>
      </c>
      <c r="H15">
        <v>3407648770.192028</v>
      </c>
      <c r="I15">
        <v>1744517803.3599901</v>
      </c>
      <c r="J15">
        <v>1009400597.4686955</v>
      </c>
      <c r="K15">
        <v>7512286846.8875895</v>
      </c>
      <c r="L15">
        <v>7430778293.9549274</v>
      </c>
      <c r="M15">
        <v>10115408040.264986</v>
      </c>
      <c r="N15">
        <v>1826849513.7846575</v>
      </c>
      <c r="O15">
        <v>4874990575.0545559</v>
      </c>
      <c r="P15">
        <v>-1599282948</v>
      </c>
      <c r="Q15">
        <v>-346045165</v>
      </c>
      <c r="R15">
        <v>-374348227</v>
      </c>
      <c r="S15">
        <v>-169775395</v>
      </c>
      <c r="T15">
        <v>395643337</v>
      </c>
      <c r="U15">
        <v>441372324</v>
      </c>
      <c r="V15">
        <v>111016289</v>
      </c>
      <c r="W15">
        <v>39477229</v>
      </c>
      <c r="X15">
        <v>668572018</v>
      </c>
      <c r="Y15">
        <v>458386485</v>
      </c>
      <c r="Z15">
        <v>98065910</v>
      </c>
      <c r="AA15">
        <v>-277229506</v>
      </c>
      <c r="AB15">
        <v>448432767</v>
      </c>
      <c r="AC15">
        <v>369056215</v>
      </c>
      <c r="AD15">
        <v>185103515</v>
      </c>
      <c r="AE15">
        <v>131237231</v>
      </c>
      <c r="AF15">
        <v>444026546</v>
      </c>
      <c r="AG15">
        <v>175563198</v>
      </c>
      <c r="AH15">
        <v>3032115</v>
      </c>
      <c r="AI15">
        <v>270468189</v>
      </c>
      <c r="AJ15">
        <v>19161017</v>
      </c>
      <c r="AK15">
        <v>-13092020</v>
      </c>
      <c r="AL15">
        <v>27234019</v>
      </c>
      <c r="AM15">
        <v>220429096</v>
      </c>
      <c r="AN15">
        <v>-40448636</v>
      </c>
      <c r="AO15">
        <v>-18930964</v>
      </c>
      <c r="AP15">
        <v>51582776</v>
      </c>
    </row>
    <row r="16" spans="1:42" ht="15.6" x14ac:dyDescent="0.3">
      <c r="A16" t="s">
        <v>179</v>
      </c>
    </row>
    <row r="17" spans="1:42" ht="15.6" x14ac:dyDescent="0.3">
      <c r="A17" t="s">
        <v>180</v>
      </c>
    </row>
    <row r="18" spans="1:42" ht="15.6" x14ac:dyDescent="0.3">
      <c r="A18" t="s">
        <v>181</v>
      </c>
      <c r="B18">
        <v>-26090737</v>
      </c>
      <c r="C18">
        <v>6849613.3130764654</v>
      </c>
      <c r="D18">
        <v>21921866.008333281</v>
      </c>
      <c r="E18">
        <v>56580356.342465445</v>
      </c>
      <c r="F18">
        <v>-6881023</v>
      </c>
      <c r="G18">
        <v>16036996.224402156</v>
      </c>
      <c r="H18">
        <v>-21278718.841049887</v>
      </c>
      <c r="I18">
        <v>-30424875.012550402</v>
      </c>
      <c r="J18">
        <v>-45323603.139666088</v>
      </c>
      <c r="K18">
        <v>-87393955.839004681</v>
      </c>
      <c r="L18">
        <v>-91640821.123293862</v>
      </c>
      <c r="M18">
        <v>-67046501.366357803</v>
      </c>
      <c r="N18">
        <v>-43007376.331932671</v>
      </c>
      <c r="O18">
        <v>-224687411.09931269</v>
      </c>
      <c r="P18">
        <v>-99878768</v>
      </c>
      <c r="Q18">
        <v>-64319894</v>
      </c>
      <c r="R18">
        <v>-39139137</v>
      </c>
      <c r="S18">
        <v>31951757</v>
      </c>
      <c r="T18">
        <v>-14739662</v>
      </c>
      <c r="U18">
        <v>4015364</v>
      </c>
      <c r="V18">
        <v>99076660</v>
      </c>
      <c r="W18">
        <v>15982363</v>
      </c>
      <c r="X18">
        <v>5694429</v>
      </c>
      <c r="Y18">
        <v>-5887603</v>
      </c>
      <c r="Z18">
        <v>-9702071</v>
      </c>
      <c r="AA18">
        <v>8744964</v>
      </c>
      <c r="AB18">
        <v>-66508</v>
      </c>
      <c r="AC18">
        <v>12819595</v>
      </c>
      <c r="AD18">
        <v>-4739664</v>
      </c>
      <c r="AE18">
        <v>-68098736</v>
      </c>
      <c r="AF18">
        <v>-6070961</v>
      </c>
      <c r="AG18">
        <v>-31710589</v>
      </c>
      <c r="AH18">
        <v>-7725514</v>
      </c>
      <c r="AI18">
        <v>2274964</v>
      </c>
      <c r="AJ18">
        <v>6258056</v>
      </c>
      <c r="AL18">
        <v>0</v>
      </c>
      <c r="AM18">
        <v>-5165563</v>
      </c>
      <c r="AN18">
        <v>21855805</v>
      </c>
    </row>
    <row r="19" spans="1:42" ht="15.6" x14ac:dyDescent="0.3">
      <c r="A19" t="s">
        <v>182</v>
      </c>
      <c r="C19">
        <v>0</v>
      </c>
      <c r="G19">
        <v>0</v>
      </c>
      <c r="J19">
        <v>0</v>
      </c>
      <c r="L19">
        <v>0</v>
      </c>
      <c r="P19">
        <v>0</v>
      </c>
      <c r="Q19">
        <v>0</v>
      </c>
      <c r="R19">
        <v>0</v>
      </c>
      <c r="S19">
        <v>0</v>
      </c>
      <c r="U19">
        <v>0</v>
      </c>
      <c r="V19">
        <v>0</v>
      </c>
      <c r="AN19">
        <v>0</v>
      </c>
    </row>
    <row r="20" spans="1:42" ht="15.6" x14ac:dyDescent="0.3">
      <c r="A20" t="s">
        <v>183</v>
      </c>
      <c r="B20">
        <v>642899775</v>
      </c>
      <c r="C20">
        <v>3483642021.7016225</v>
      </c>
      <c r="D20">
        <v>1805809755.3731506</v>
      </c>
      <c r="E20">
        <v>1360272347.2323215</v>
      </c>
      <c r="F20">
        <v>786807643</v>
      </c>
      <c r="G20">
        <v>2520944676.0755749</v>
      </c>
      <c r="H20">
        <v>1697763075.3287935</v>
      </c>
      <c r="I20">
        <v>1141559460.595402</v>
      </c>
      <c r="J20">
        <v>595011149.05707204</v>
      </c>
      <c r="K20">
        <v>2153764723.9838705</v>
      </c>
      <c r="L20">
        <v>3343892266.0254536</v>
      </c>
      <c r="M20">
        <v>1835790842.3752184</v>
      </c>
      <c r="N20">
        <v>315130576.95504963</v>
      </c>
      <c r="O20">
        <v>3910086952.2972279</v>
      </c>
      <c r="P20">
        <v>742053344</v>
      </c>
      <c r="Q20">
        <v>481365370</v>
      </c>
      <c r="R20">
        <v>285492473</v>
      </c>
      <c r="S20">
        <v>565239976</v>
      </c>
      <c r="T20">
        <v>157391105</v>
      </c>
      <c r="U20">
        <v>124744028</v>
      </c>
      <c r="V20">
        <v>20410103</v>
      </c>
      <c r="W20">
        <v>148824227</v>
      </c>
      <c r="X20">
        <v>53304259</v>
      </c>
      <c r="Y20">
        <v>23688627</v>
      </c>
      <c r="Z20">
        <v>-17855211</v>
      </c>
      <c r="AA20">
        <v>96109432</v>
      </c>
      <c r="AB20">
        <v>34221226</v>
      </c>
      <c r="AC20">
        <v>19608180</v>
      </c>
      <c r="AD20">
        <v>-18440128</v>
      </c>
      <c r="AE20">
        <v>29298814</v>
      </c>
      <c r="AF20">
        <v>17095099</v>
      </c>
      <c r="AG20">
        <v>-2521510</v>
      </c>
      <c r="AH20">
        <v>-25065639</v>
      </c>
      <c r="AI20">
        <v>-43143042</v>
      </c>
      <c r="AJ20">
        <v>-27313577</v>
      </c>
      <c r="AK20">
        <v>-18434212</v>
      </c>
      <c r="AL20">
        <v>-14829369</v>
      </c>
      <c r="AM20">
        <v>-58305896</v>
      </c>
      <c r="AN20">
        <v>-8049298</v>
      </c>
      <c r="AO20">
        <v>5765190</v>
      </c>
      <c r="AP20">
        <v>-525717</v>
      </c>
    </row>
    <row r="21" spans="1:42" ht="15.6" x14ac:dyDescent="0.3">
      <c r="A21" t="s">
        <v>184</v>
      </c>
      <c r="N21">
        <v>-1280323260.0644183</v>
      </c>
      <c r="O21">
        <v>-15521548017.454374</v>
      </c>
    </row>
    <row r="22" spans="1:42" ht="15.6" x14ac:dyDescent="0.3">
      <c r="A22" t="s">
        <v>185</v>
      </c>
      <c r="B22">
        <v>-2602</v>
      </c>
      <c r="C22">
        <v>-190060654.03217536</v>
      </c>
      <c r="D22">
        <v>4903791.1656321837</v>
      </c>
      <c r="E22">
        <v>-521480.35079832835</v>
      </c>
      <c r="F22">
        <v>-521472</v>
      </c>
      <c r="G22">
        <v>-3422753.8192192651</v>
      </c>
      <c r="H22">
        <v>0</v>
      </c>
      <c r="I22">
        <v>-248519.61927992414</v>
      </c>
      <c r="J22">
        <v>-60146.875103648774</v>
      </c>
      <c r="K22">
        <v>65608750.889102466</v>
      </c>
      <c r="L22">
        <v>0</v>
      </c>
      <c r="M22">
        <v>-99780994.874983296</v>
      </c>
      <c r="N22">
        <v>-119218946.2599242</v>
      </c>
      <c r="O22">
        <v>0</v>
      </c>
      <c r="P22">
        <v>0</v>
      </c>
      <c r="Q22">
        <v>0</v>
      </c>
      <c r="R22">
        <v>0</v>
      </c>
      <c r="S22">
        <v>-1878202</v>
      </c>
      <c r="U22">
        <v>0</v>
      </c>
      <c r="V22">
        <v>0</v>
      </c>
      <c r="W22">
        <v>-80805</v>
      </c>
      <c r="X22">
        <v>-77759</v>
      </c>
      <c r="Y22">
        <v>-75837</v>
      </c>
      <c r="Z22">
        <v>-72548</v>
      </c>
      <c r="AA22">
        <v>-151385</v>
      </c>
      <c r="AB22">
        <v>0</v>
      </c>
      <c r="AC22">
        <v>0</v>
      </c>
      <c r="AD22">
        <v>0</v>
      </c>
      <c r="AE22">
        <v>-2640864</v>
      </c>
      <c r="AF22">
        <v>-2647294</v>
      </c>
      <c r="AG22">
        <v>-2609176</v>
      </c>
      <c r="AH22">
        <v>-2596879</v>
      </c>
      <c r="AI22">
        <v>-1985685</v>
      </c>
      <c r="AJ22">
        <v>9008190</v>
      </c>
      <c r="AK22">
        <v>-547151</v>
      </c>
      <c r="AL22">
        <v>-514635</v>
      </c>
      <c r="AM22">
        <v>86204437</v>
      </c>
      <c r="AN22">
        <v>-192340</v>
      </c>
      <c r="AO22">
        <v>200384</v>
      </c>
      <c r="AP22">
        <v>-257824</v>
      </c>
    </row>
    <row r="23" spans="1:42" ht="15.6" x14ac:dyDescent="0.3">
      <c r="A23" t="s">
        <v>186</v>
      </c>
      <c r="AB23">
        <v>0</v>
      </c>
      <c r="AF23">
        <v>46013293</v>
      </c>
      <c r="AG23">
        <v>46013293</v>
      </c>
      <c r="AI23">
        <v>-57182866</v>
      </c>
      <c r="AJ23">
        <v>-57182866</v>
      </c>
      <c r="AK23">
        <v>-57182866</v>
      </c>
      <c r="AM23">
        <v>0</v>
      </c>
      <c r="AN23">
        <v>0</v>
      </c>
    </row>
    <row r="24" spans="1:42" ht="15.6" x14ac:dyDescent="0.3">
      <c r="A24" t="s">
        <v>187</v>
      </c>
    </row>
    <row r="25" spans="1:42" ht="15.6" x14ac:dyDescent="0.3">
      <c r="A25" t="s">
        <v>188</v>
      </c>
      <c r="C25">
        <v>0</v>
      </c>
      <c r="D25">
        <v>0</v>
      </c>
      <c r="E25">
        <v>0</v>
      </c>
      <c r="G25">
        <v>-501914999.55891937</v>
      </c>
      <c r="H25">
        <v>-533378459.18569022</v>
      </c>
      <c r="I25">
        <v>0</v>
      </c>
      <c r="J25">
        <v>0</v>
      </c>
      <c r="K25">
        <v>0</v>
      </c>
      <c r="L25">
        <v>0</v>
      </c>
      <c r="AI25">
        <v>-532772001</v>
      </c>
      <c r="AJ25">
        <v>-159462373</v>
      </c>
      <c r="AK25">
        <v>-22319492</v>
      </c>
      <c r="AM25">
        <v>0</v>
      </c>
      <c r="AN25">
        <v>1904559</v>
      </c>
      <c r="AO25">
        <v>1904559</v>
      </c>
    </row>
    <row r="26" spans="1:42" ht="15.6" x14ac:dyDescent="0.3">
      <c r="A26" t="s">
        <v>189</v>
      </c>
    </row>
    <row r="27" spans="1:42" ht="15.6" x14ac:dyDescent="0.3">
      <c r="A27" t="s">
        <v>190</v>
      </c>
    </row>
    <row r="28" spans="1:42" ht="15.6" x14ac:dyDescent="0.3">
      <c r="A28" t="s">
        <v>191</v>
      </c>
      <c r="B28">
        <v>349525728</v>
      </c>
      <c r="C28">
        <v>-317376685.89453226</v>
      </c>
      <c r="D28">
        <v>-2246740673.950624</v>
      </c>
      <c r="E28">
        <v>-580742434.6652385</v>
      </c>
      <c r="F28">
        <v>415449829</v>
      </c>
      <c r="G28">
        <v>3284519680.4658451</v>
      </c>
      <c r="H28">
        <v>7047648695.5145187</v>
      </c>
      <c r="I28">
        <v>1524057705.581485</v>
      </c>
      <c r="J28">
        <v>-342464073.31127125</v>
      </c>
      <c r="K28">
        <v>-9559261153.8762035</v>
      </c>
      <c r="L28">
        <v>-8247628136.8564463</v>
      </c>
      <c r="M28">
        <v>-8266252189.3443689</v>
      </c>
      <c r="N28">
        <v>-196460872.71255967</v>
      </c>
      <c r="O28">
        <v>-14747928475.555733</v>
      </c>
      <c r="P28">
        <v>-3188996543</v>
      </c>
      <c r="Q28">
        <v>-2807385621</v>
      </c>
      <c r="R28">
        <v>-1374594483</v>
      </c>
      <c r="S28">
        <v>-2103563928</v>
      </c>
      <c r="T28">
        <v>-1503708597</v>
      </c>
      <c r="U28">
        <v>-1505197456</v>
      </c>
      <c r="V28">
        <v>-326149688</v>
      </c>
      <c r="W28">
        <v>-308043847</v>
      </c>
      <c r="X28">
        <v>-556041482</v>
      </c>
      <c r="Y28">
        <v>-307174739</v>
      </c>
      <c r="Z28">
        <v>-114144240</v>
      </c>
      <c r="AA28">
        <v>-279753737</v>
      </c>
      <c r="AB28">
        <v>-636841054</v>
      </c>
      <c r="AC28">
        <v>-551525757</v>
      </c>
      <c r="AD28">
        <v>-259065959</v>
      </c>
      <c r="AE28">
        <v>-984438723</v>
      </c>
      <c r="AF28">
        <v>-1441079093</v>
      </c>
      <c r="AG28">
        <v>-703736958</v>
      </c>
      <c r="AH28">
        <v>-233003280</v>
      </c>
      <c r="AI28">
        <v>-54123245</v>
      </c>
      <c r="AJ28">
        <v>301198675</v>
      </c>
      <c r="AK28">
        <v>409999933</v>
      </c>
      <c r="AL28">
        <v>151795284</v>
      </c>
      <c r="AM28">
        <v>-203282124</v>
      </c>
      <c r="AN28">
        <v>16729910</v>
      </c>
      <c r="AO28">
        <v>114974874</v>
      </c>
      <c r="AP28">
        <v>295628655</v>
      </c>
    </row>
    <row r="29" spans="1:42" ht="15.6" x14ac:dyDescent="0.3">
      <c r="A29" t="s">
        <v>192</v>
      </c>
      <c r="R29">
        <v>0</v>
      </c>
      <c r="S29">
        <v>-592983082</v>
      </c>
      <c r="X29">
        <v>0</v>
      </c>
    </row>
    <row r="30" spans="1:42" ht="15.6" x14ac:dyDescent="0.3">
      <c r="A30" t="s">
        <v>193</v>
      </c>
      <c r="X30">
        <v>0</v>
      </c>
    </row>
    <row r="31" spans="1:42" ht="15.6" x14ac:dyDescent="0.3">
      <c r="A31" t="s">
        <v>194</v>
      </c>
      <c r="B31">
        <v>362002401</v>
      </c>
      <c r="C31">
        <v>3277920350.4432206</v>
      </c>
      <c r="D31">
        <v>238148714.64978823</v>
      </c>
      <c r="E31">
        <v>-491156741.34566772</v>
      </c>
      <c r="F31">
        <v>948417816</v>
      </c>
      <c r="G31">
        <v>4870466035.6450186</v>
      </c>
      <c r="H31">
        <v>6166001250.3182325</v>
      </c>
      <c r="I31">
        <v>6988120012.9154358</v>
      </c>
      <c r="J31">
        <v>-1317508173.7285399</v>
      </c>
      <c r="K31">
        <v>-9551910228.4236317</v>
      </c>
      <c r="L31">
        <v>-6649676416.1269045</v>
      </c>
      <c r="M31">
        <v>-5991827665.3929014</v>
      </c>
      <c r="N31">
        <v>1018120348.4784086</v>
      </c>
      <c r="O31">
        <v>-13511642337.759563</v>
      </c>
      <c r="P31">
        <v>-3735585808</v>
      </c>
      <c r="Q31">
        <v>-2532031035</v>
      </c>
      <c r="R31">
        <v>-1245450191</v>
      </c>
      <c r="S31">
        <v>-2666057445</v>
      </c>
      <c r="T31">
        <v>-817829795</v>
      </c>
      <c r="U31">
        <v>-437230184</v>
      </c>
      <c r="V31">
        <v>-237942930</v>
      </c>
      <c r="W31">
        <v>-786120993</v>
      </c>
      <c r="X31">
        <v>-855794053</v>
      </c>
      <c r="Y31">
        <v>-632685657</v>
      </c>
      <c r="Z31">
        <v>-188858944</v>
      </c>
      <c r="AA31">
        <v>-408552529</v>
      </c>
      <c r="AB31">
        <v>-606820852</v>
      </c>
      <c r="AC31">
        <v>-557384999</v>
      </c>
      <c r="AD31">
        <v>-104380661</v>
      </c>
      <c r="AE31">
        <v>-809180319</v>
      </c>
      <c r="AF31">
        <v>-1207819154</v>
      </c>
      <c r="AG31">
        <v>-524561525</v>
      </c>
      <c r="AH31">
        <v>-209263359</v>
      </c>
      <c r="AI31">
        <v>-436264692</v>
      </c>
      <c r="AJ31">
        <v>-259036415</v>
      </c>
      <c r="AK31">
        <v>-83625198</v>
      </c>
      <c r="AL31">
        <v>-62410222</v>
      </c>
      <c r="AM31">
        <v>-94098952</v>
      </c>
      <c r="AN31">
        <v>-152879052</v>
      </c>
      <c r="AO31">
        <v>-17781302</v>
      </c>
      <c r="AP31">
        <v>-117151053</v>
      </c>
    </row>
    <row r="32" spans="1:42" ht="15.6" x14ac:dyDescent="0.3">
      <c r="A32" t="s">
        <v>195</v>
      </c>
      <c r="X32">
        <v>0</v>
      </c>
    </row>
    <row r="33" spans="1:42" ht="15.6" x14ac:dyDescent="0.3">
      <c r="A33" t="s">
        <v>196</v>
      </c>
      <c r="B33">
        <v>1517982</v>
      </c>
      <c r="C33">
        <v>-26690176.508903287</v>
      </c>
      <c r="D33">
        <v>-19892626.184294462</v>
      </c>
      <c r="E33">
        <v>-23242433.578841504</v>
      </c>
      <c r="F33">
        <v>-8104593</v>
      </c>
      <c r="G33">
        <v>-29058480.617968224</v>
      </c>
      <c r="H33">
        <v>-30449694.994642466</v>
      </c>
      <c r="I33">
        <v>-15276643.263718126</v>
      </c>
      <c r="J33">
        <v>-11449409.170146445</v>
      </c>
      <c r="K33">
        <v>17138812.459026653</v>
      </c>
      <c r="L33">
        <v>-299724253.79337019</v>
      </c>
      <c r="M33">
        <v>-77795759.809096754</v>
      </c>
      <c r="N33">
        <v>-3880105.2457384304</v>
      </c>
      <c r="O33">
        <v>141276887.37193045</v>
      </c>
      <c r="P33">
        <v>-169144390</v>
      </c>
      <c r="Q33">
        <v>-116296276</v>
      </c>
      <c r="R33">
        <v>-9047116</v>
      </c>
      <c r="S33">
        <v>-30015558</v>
      </c>
      <c r="T33">
        <v>-22072189</v>
      </c>
      <c r="U33">
        <v>-7999368</v>
      </c>
      <c r="V33">
        <v>5391085</v>
      </c>
      <c r="W33">
        <v>67747458</v>
      </c>
      <c r="X33">
        <v>97839203</v>
      </c>
      <c r="Y33">
        <v>98416129</v>
      </c>
      <c r="Z33">
        <v>-10811376</v>
      </c>
      <c r="AA33">
        <v>144389012</v>
      </c>
      <c r="AB33">
        <v>130542945</v>
      </c>
      <c r="AC33">
        <v>162647217</v>
      </c>
      <c r="AD33">
        <v>-79674042</v>
      </c>
      <c r="AE33">
        <v>-240426117</v>
      </c>
      <c r="AF33">
        <v>-288714699</v>
      </c>
      <c r="AG33">
        <v>-10857788</v>
      </c>
      <c r="AH33">
        <v>-6681652</v>
      </c>
      <c r="AI33">
        <v>66569265</v>
      </c>
      <c r="AJ33">
        <v>181775820</v>
      </c>
      <c r="AK33">
        <v>185318347</v>
      </c>
      <c r="AL33">
        <v>187557823</v>
      </c>
      <c r="AM33">
        <v>-201281021</v>
      </c>
      <c r="AN33">
        <v>60282362</v>
      </c>
      <c r="AO33">
        <v>14900632</v>
      </c>
      <c r="AP33">
        <v>-32122742</v>
      </c>
    </row>
    <row r="34" spans="1:42" ht="15.6" x14ac:dyDescent="0.3">
      <c r="A34" t="s">
        <v>197</v>
      </c>
      <c r="J34">
        <v>0</v>
      </c>
      <c r="K34">
        <v>0</v>
      </c>
      <c r="L34">
        <v>0</v>
      </c>
      <c r="O34">
        <v>0</v>
      </c>
      <c r="P34">
        <v>0</v>
      </c>
      <c r="Q34">
        <v>0</v>
      </c>
      <c r="R34">
        <v>0</v>
      </c>
      <c r="S34">
        <v>0</v>
      </c>
      <c r="U34">
        <v>0</v>
      </c>
    </row>
    <row r="35" spans="1:42" ht="15.6" x14ac:dyDescent="0.3">
      <c r="A35" t="s">
        <v>198</v>
      </c>
    </row>
    <row r="36" spans="1:42" ht="15.6" x14ac:dyDescent="0.3">
      <c r="A36" t="s">
        <v>199</v>
      </c>
    </row>
    <row r="37" spans="1:42" ht="15.6" x14ac:dyDescent="0.3">
      <c r="A37" t="s">
        <v>200</v>
      </c>
      <c r="B37">
        <v>-590100482</v>
      </c>
      <c r="C37">
        <v>-491428631.15131181</v>
      </c>
      <c r="D37">
        <v>-106073426.77360553</v>
      </c>
      <c r="E37">
        <v>-406607419.56330591</v>
      </c>
      <c r="F37">
        <v>261774020</v>
      </c>
      <c r="G37">
        <v>-925777332.19634187</v>
      </c>
      <c r="H37">
        <v>-690388727.51388979</v>
      </c>
      <c r="I37">
        <v>-1727460473.5935664</v>
      </c>
      <c r="J37">
        <v>-679659458.34377217</v>
      </c>
      <c r="K37">
        <v>-1229225743.8543668</v>
      </c>
      <c r="L37">
        <v>-1130725581.9995251</v>
      </c>
      <c r="M37">
        <v>-1724613957.2394745</v>
      </c>
      <c r="N37">
        <v>-674635589.74849868</v>
      </c>
      <c r="O37">
        <v>1072352798.8412913</v>
      </c>
      <c r="P37">
        <v>-78148445</v>
      </c>
      <c r="Q37">
        <v>-83169267</v>
      </c>
      <c r="R37">
        <v>34697846</v>
      </c>
      <c r="S37">
        <v>-86930675</v>
      </c>
      <c r="T37">
        <v>-333529624</v>
      </c>
      <c r="U37">
        <v>-16645244</v>
      </c>
      <c r="V37">
        <v>-34501647</v>
      </c>
      <c r="W37">
        <v>189417785</v>
      </c>
      <c r="X37">
        <v>112461745</v>
      </c>
      <c r="Y37">
        <v>85484650</v>
      </c>
      <c r="Z37">
        <v>40267918</v>
      </c>
      <c r="AA37">
        <v>-168575415</v>
      </c>
      <c r="AB37">
        <v>-148219088</v>
      </c>
      <c r="AC37">
        <v>-97120521</v>
      </c>
      <c r="AD37">
        <v>-79621576</v>
      </c>
      <c r="AE37">
        <v>15548018</v>
      </c>
      <c r="AF37">
        <v>-137366255</v>
      </c>
      <c r="AG37">
        <v>-66813963</v>
      </c>
      <c r="AH37">
        <v>-88121753</v>
      </c>
      <c r="AI37">
        <v>-35814327</v>
      </c>
      <c r="AJ37">
        <v>-12001325</v>
      </c>
      <c r="AK37">
        <v>-81527301</v>
      </c>
      <c r="AL37">
        <v>-42967346</v>
      </c>
      <c r="AM37">
        <v>-64551052</v>
      </c>
      <c r="AN37">
        <v>-67828808</v>
      </c>
      <c r="AO37">
        <v>-19561503</v>
      </c>
      <c r="AP37">
        <v>-3010045</v>
      </c>
    </row>
    <row r="38" spans="1:42" ht="15.6" x14ac:dyDescent="0.3">
      <c r="A38" t="s">
        <v>201</v>
      </c>
    </row>
    <row r="39" spans="1:42" ht="15.6" x14ac:dyDescent="0.3">
      <c r="A39" t="s">
        <v>202</v>
      </c>
      <c r="B39">
        <v>-35276164</v>
      </c>
      <c r="C39">
        <v>75165594.150534883</v>
      </c>
      <c r="D39">
        <v>7643904.2707752986</v>
      </c>
      <c r="E39">
        <v>-45506528.865483031</v>
      </c>
      <c r="F39">
        <v>-188766323</v>
      </c>
      <c r="G39">
        <v>-387616817.39612448</v>
      </c>
      <c r="H39">
        <v>-692094207.87406826</v>
      </c>
      <c r="I39">
        <v>-728662732.25741255</v>
      </c>
      <c r="J39">
        <v>-79700287.869407609</v>
      </c>
      <c r="K39">
        <v>294274706.19510162</v>
      </c>
      <c r="L39">
        <v>-2140776993.4866755</v>
      </c>
      <c r="M39">
        <v>-825516562.79469144</v>
      </c>
      <c r="N39">
        <v>-228726518.81075224</v>
      </c>
      <c r="O39">
        <v>-280006687.81934834</v>
      </c>
      <c r="P39">
        <v>72593108</v>
      </c>
      <c r="Q39">
        <v>-60921162</v>
      </c>
      <c r="R39">
        <v>-45787938</v>
      </c>
      <c r="S39">
        <v>-179979296</v>
      </c>
      <c r="T39">
        <v>-374225293</v>
      </c>
      <c r="U39">
        <v>-220585766</v>
      </c>
      <c r="V39">
        <v>-40682829</v>
      </c>
      <c r="W39">
        <v>-43452194</v>
      </c>
      <c r="X39">
        <v>-37731819</v>
      </c>
      <c r="Y39">
        <v>-9487856</v>
      </c>
      <c r="Z39">
        <v>-11804161</v>
      </c>
      <c r="AA39">
        <v>-27571770</v>
      </c>
      <c r="AB39">
        <v>-25292458</v>
      </c>
      <c r="AC39">
        <v>-30816081</v>
      </c>
      <c r="AD39">
        <v>-6257214</v>
      </c>
      <c r="AE39">
        <v>-10774672</v>
      </c>
      <c r="AF39">
        <v>19781025</v>
      </c>
      <c r="AG39">
        <v>-2055241</v>
      </c>
      <c r="AH39">
        <v>13181350</v>
      </c>
      <c r="AI39">
        <v>20599668</v>
      </c>
      <c r="AJ39">
        <v>24055953</v>
      </c>
      <c r="AK39">
        <v>23863491</v>
      </c>
      <c r="AL39">
        <v>35678052</v>
      </c>
      <c r="AM39">
        <v>95560048</v>
      </c>
      <c r="AN39">
        <v>40056972</v>
      </c>
      <c r="AO39">
        <v>99358346</v>
      </c>
      <c r="AP39">
        <v>84868306</v>
      </c>
    </row>
    <row r="40" spans="1:42" ht="15.6" x14ac:dyDescent="0.3">
      <c r="A40" t="s">
        <v>203</v>
      </c>
      <c r="B40">
        <v>901535409</v>
      </c>
      <c r="C40">
        <v>-2053588877.5105567</v>
      </c>
      <c r="D40">
        <v>-1553890344.4433331</v>
      </c>
      <c r="E40">
        <v>813385483.71805477</v>
      </c>
      <c r="F40">
        <v>-392813015</v>
      </c>
      <c r="G40">
        <v>4688561100.152812</v>
      </c>
      <c r="H40">
        <v>5688272350.2464705</v>
      </c>
      <c r="I40">
        <v>2191676052.7114873</v>
      </c>
      <c r="J40">
        <v>2273624136.3061299</v>
      </c>
      <c r="K40">
        <v>2515181732.2694154</v>
      </c>
      <c r="L40">
        <v>1360043551.6186626</v>
      </c>
      <c r="M40">
        <v>-805583946.48391533</v>
      </c>
      <c r="N40">
        <v>62691511.448592439</v>
      </c>
      <c r="O40">
        <v>272431666.00851893</v>
      </c>
      <c r="P40">
        <v>922494295</v>
      </c>
      <c r="Q40">
        <v>235803572</v>
      </c>
      <c r="R40">
        <v>-285739803</v>
      </c>
      <c r="S40">
        <v>1239952309</v>
      </c>
      <c r="T40">
        <v>690130296</v>
      </c>
      <c r="U40">
        <v>172564712</v>
      </c>
      <c r="V40">
        <v>-60053164</v>
      </c>
      <c r="W40">
        <v>180365083</v>
      </c>
      <c r="X40">
        <v>95129621</v>
      </c>
      <c r="Y40">
        <v>120492435</v>
      </c>
      <c r="Z40">
        <v>37418469</v>
      </c>
      <c r="AA40">
        <v>77077750</v>
      </c>
      <c r="AB40">
        <v>-42644793</v>
      </c>
      <c r="AC40">
        <v>-129341118</v>
      </c>
      <c r="AD40">
        <v>-241319110</v>
      </c>
      <c r="AE40">
        <v>61929456</v>
      </c>
      <c r="AF40">
        <v>230142646</v>
      </c>
      <c r="AG40">
        <v>-65365354</v>
      </c>
      <c r="AH40">
        <v>113230576</v>
      </c>
      <c r="AI40">
        <v>145176252</v>
      </c>
      <c r="AJ40">
        <v>104795348</v>
      </c>
      <c r="AK40">
        <v>145037567</v>
      </c>
      <c r="AL40">
        <v>43014808</v>
      </c>
      <c r="AM40">
        <v>-50341458</v>
      </c>
      <c r="AN40">
        <v>113661237</v>
      </c>
      <c r="AO40">
        <v>16685165</v>
      </c>
      <c r="AP40">
        <v>346371326</v>
      </c>
    </row>
    <row r="41" spans="1:42" ht="15.6" x14ac:dyDescent="0.3">
      <c r="A41" t="s">
        <v>204</v>
      </c>
      <c r="P41">
        <v>194151068</v>
      </c>
      <c r="Q41">
        <v>29633072</v>
      </c>
      <c r="T41">
        <v>-588124192</v>
      </c>
      <c r="U41">
        <v>-957572000</v>
      </c>
      <c r="Y41">
        <v>0</v>
      </c>
    </row>
    <row r="42" spans="1:42" ht="15.6" x14ac:dyDescent="0.3">
      <c r="A42" t="s">
        <v>205</v>
      </c>
    </row>
    <row r="43" spans="1:42" ht="15.6" x14ac:dyDescent="0.3">
      <c r="A43" t="s">
        <v>206</v>
      </c>
      <c r="P43">
        <v>0</v>
      </c>
      <c r="Q43">
        <v>0</v>
      </c>
      <c r="R43">
        <v>0</v>
      </c>
      <c r="S43">
        <v>0</v>
      </c>
      <c r="U43">
        <v>0</v>
      </c>
    </row>
    <row r="44" spans="1:42" ht="15.6" x14ac:dyDescent="0.3">
      <c r="A44" t="s">
        <v>207</v>
      </c>
      <c r="B44">
        <v>-215561691</v>
      </c>
      <c r="C44">
        <v>132968147.202378</v>
      </c>
      <c r="D44">
        <v>-56861886.063862771</v>
      </c>
      <c r="E44">
        <v>105695797.27539055</v>
      </c>
      <c r="F44">
        <v>-323446273</v>
      </c>
      <c r="G44">
        <v>-1920976969.9357688</v>
      </c>
      <c r="H44">
        <v>-2277697991.5389905</v>
      </c>
      <c r="I44">
        <v>-2485945315.7287569</v>
      </c>
      <c r="J44">
        <v>1475010500.4788253</v>
      </c>
      <c r="K44">
        <v>1348377397.8589039</v>
      </c>
      <c r="L44">
        <v>1210298329.5633693</v>
      </c>
      <c r="M44">
        <v>1548570532.5448563</v>
      </c>
      <c r="N44">
        <v>854898207.54257846</v>
      </c>
      <c r="O44">
        <v>1102708789.5065451</v>
      </c>
      <c r="P44">
        <v>186007300</v>
      </c>
      <c r="Q44">
        <v>300526416</v>
      </c>
      <c r="R44">
        <v>264954473</v>
      </c>
      <c r="S44">
        <v>499897717</v>
      </c>
      <c r="T44">
        <v>-31008853</v>
      </c>
      <c r="U44">
        <v>-24262509</v>
      </c>
      <c r="V44">
        <v>25297802</v>
      </c>
      <c r="W44">
        <v>64446847</v>
      </c>
      <c r="X44">
        <v>4592461</v>
      </c>
      <c r="Y44">
        <v>-10826747</v>
      </c>
      <c r="Z44">
        <v>-8460513</v>
      </c>
      <c r="AA44">
        <v>52154257</v>
      </c>
      <c r="AB44">
        <v>13648954</v>
      </c>
      <c r="AC44">
        <v>100129840</v>
      </c>
      <c r="AD44">
        <v>251670813</v>
      </c>
      <c r="AE44">
        <v>-47501973</v>
      </c>
      <c r="AF44">
        <v>-57566629</v>
      </c>
      <c r="AG44">
        <v>-33753905</v>
      </c>
      <c r="AH44">
        <v>-55330904</v>
      </c>
      <c r="AI44">
        <v>75420844</v>
      </c>
      <c r="AJ44">
        <v>123389927</v>
      </c>
      <c r="AK44">
        <v>133431699</v>
      </c>
      <c r="AL44">
        <v>-3963839</v>
      </c>
      <c r="AM44">
        <v>41012701</v>
      </c>
      <c r="AN44">
        <v>3786844</v>
      </c>
      <c r="AO44">
        <v>4043330</v>
      </c>
      <c r="AP44">
        <v>3654380</v>
      </c>
    </row>
    <row r="45" spans="1:42" ht="15.6" x14ac:dyDescent="0.3">
      <c r="A45" t="s">
        <v>208</v>
      </c>
    </row>
    <row r="46" spans="1:42" ht="15.6" x14ac:dyDescent="0.3">
      <c r="A46" t="s">
        <v>209</v>
      </c>
    </row>
    <row r="47" spans="1:42" ht="15.6" x14ac:dyDescent="0.3">
      <c r="A47" t="s">
        <v>210</v>
      </c>
      <c r="AI47">
        <v>0</v>
      </c>
      <c r="AM47">
        <v>0</v>
      </c>
    </row>
    <row r="48" spans="1:42" ht="15.6" x14ac:dyDescent="0.3">
      <c r="A48" t="s">
        <v>211</v>
      </c>
      <c r="B48">
        <v>-74591727</v>
      </c>
      <c r="C48">
        <v>-1231723092.5198941</v>
      </c>
      <c r="D48">
        <v>-755815009.40609169</v>
      </c>
      <c r="E48">
        <v>-533310592.30538577</v>
      </c>
      <c r="F48">
        <v>118388197</v>
      </c>
      <c r="G48">
        <v>-3011077855.185781</v>
      </c>
      <c r="H48">
        <v>-1115994283.1285927</v>
      </c>
      <c r="I48">
        <v>-2698393195.2019844</v>
      </c>
      <c r="J48">
        <v>-2002781380.9843607</v>
      </c>
      <c r="K48">
        <v>-2953097830.380652</v>
      </c>
      <c r="L48">
        <v>-597066772.63200283</v>
      </c>
      <c r="M48">
        <v>-389484830.1691466</v>
      </c>
      <c r="N48">
        <v>-1224928726.3771498</v>
      </c>
      <c r="O48">
        <v>-3545049591.7051058</v>
      </c>
      <c r="P48">
        <v>-581363671</v>
      </c>
      <c r="Q48">
        <v>-580930941</v>
      </c>
      <c r="R48">
        <v>-88221754</v>
      </c>
      <c r="S48">
        <v>-287447898</v>
      </c>
      <c r="T48">
        <v>-27048947</v>
      </c>
      <c r="U48">
        <v>-13467097</v>
      </c>
      <c r="V48">
        <v>16341995</v>
      </c>
      <c r="W48">
        <v>19552167</v>
      </c>
      <c r="X48">
        <v>27461360</v>
      </c>
      <c r="Y48">
        <v>41432307</v>
      </c>
      <c r="Z48">
        <v>28104367</v>
      </c>
      <c r="AA48">
        <v>51324958</v>
      </c>
      <c r="AB48">
        <v>41944238</v>
      </c>
      <c r="AC48">
        <v>359905</v>
      </c>
      <c r="AD48">
        <v>515831</v>
      </c>
      <c r="AE48">
        <v>45966884</v>
      </c>
      <c r="AF48">
        <v>463973</v>
      </c>
      <c r="AG48">
        <v>-329182</v>
      </c>
      <c r="AH48">
        <v>-17538</v>
      </c>
      <c r="AI48">
        <v>110189745</v>
      </c>
      <c r="AJ48">
        <v>138219367</v>
      </c>
      <c r="AK48">
        <v>87501328</v>
      </c>
      <c r="AL48">
        <v>-5113992</v>
      </c>
      <c r="AM48">
        <v>70417610</v>
      </c>
      <c r="AN48">
        <v>19650355</v>
      </c>
      <c r="AO48">
        <v>17330206</v>
      </c>
      <c r="AP48">
        <v>13018483</v>
      </c>
    </row>
    <row r="49" spans="1:42" ht="15.6" x14ac:dyDescent="0.3">
      <c r="A49" t="s">
        <v>212</v>
      </c>
      <c r="B49">
        <v>4170372063</v>
      </c>
      <c r="C49">
        <v>15754484360.815613</v>
      </c>
      <c r="D49">
        <v>10409257147.423756</v>
      </c>
      <c r="E49">
        <v>8989436079.020462</v>
      </c>
      <c r="F49">
        <v>5312900081</v>
      </c>
      <c r="G49">
        <v>19150916688.926857</v>
      </c>
      <c r="H49">
        <v>21750100269.949009</v>
      </c>
      <c r="I49">
        <v>11527963928.066196</v>
      </c>
      <c r="J49">
        <v>4603988615.0658922</v>
      </c>
      <c r="K49">
        <v>12265536321.367008</v>
      </c>
      <c r="L49">
        <v>10484581076.217049</v>
      </c>
      <c r="M49">
        <v>9085254241.6299648</v>
      </c>
      <c r="N49">
        <v>5274295033.5152922</v>
      </c>
      <c r="O49">
        <v>3691213251.6881871</v>
      </c>
      <c r="P49">
        <v>1451788790</v>
      </c>
      <c r="Q49">
        <v>679466400</v>
      </c>
      <c r="R49">
        <v>152239647</v>
      </c>
      <c r="S49">
        <v>1055040932</v>
      </c>
      <c r="T49">
        <v>582675861</v>
      </c>
      <c r="U49">
        <v>-5036543</v>
      </c>
      <c r="V49">
        <v>346262052</v>
      </c>
      <c r="W49">
        <v>1262529930</v>
      </c>
      <c r="X49">
        <v>1195101716</v>
      </c>
      <c r="Y49">
        <v>860389314</v>
      </c>
      <c r="Z49">
        <v>274712589</v>
      </c>
      <c r="AA49">
        <v>829915357</v>
      </c>
      <c r="AB49">
        <v>972035839</v>
      </c>
      <c r="AC49">
        <v>567316801</v>
      </c>
      <c r="AD49">
        <v>299511223</v>
      </c>
      <c r="AE49">
        <v>151133160</v>
      </c>
      <c r="AF49">
        <v>-179405645</v>
      </c>
      <c r="AG49">
        <v>-49602215</v>
      </c>
      <c r="AH49">
        <v>-25677871</v>
      </c>
      <c r="AI49">
        <v>574884633</v>
      </c>
      <c r="AJ49">
        <v>664038903</v>
      </c>
      <c r="AK49">
        <v>513377066</v>
      </c>
      <c r="AL49">
        <v>201757133</v>
      </c>
      <c r="AM49">
        <v>119208923</v>
      </c>
      <c r="AN49">
        <v>308316627</v>
      </c>
      <c r="AO49">
        <v>314280539</v>
      </c>
      <c r="AP49">
        <v>460354157</v>
      </c>
    </row>
    <row r="50" spans="1:42" ht="15.6" x14ac:dyDescent="0.3">
      <c r="A50" t="s">
        <v>213</v>
      </c>
    </row>
    <row r="51" spans="1:42" ht="15.6" x14ac:dyDescent="0.3">
      <c r="A51" t="s">
        <v>214</v>
      </c>
    </row>
    <row r="52" spans="1:42" ht="15.6" x14ac:dyDescent="0.3">
      <c r="A52" t="s">
        <v>215</v>
      </c>
      <c r="AB52">
        <v>-520332298</v>
      </c>
      <c r="AD52">
        <v>-154107628</v>
      </c>
      <c r="AE52">
        <v>-474668262</v>
      </c>
      <c r="AF52">
        <v>-336792751</v>
      </c>
      <c r="AG52">
        <v>-184871451</v>
      </c>
      <c r="AH52">
        <v>-104638905</v>
      </c>
      <c r="AI52">
        <v>-377907056</v>
      </c>
      <c r="AJ52">
        <v>-298967169</v>
      </c>
      <c r="AK52">
        <v>-194491186</v>
      </c>
      <c r="AL52">
        <v>-71982253</v>
      </c>
      <c r="AM52">
        <v>-298735308</v>
      </c>
      <c r="AN52">
        <v>-209343460</v>
      </c>
      <c r="AO52">
        <v>-73267677</v>
      </c>
      <c r="AP52">
        <v>-52463921</v>
      </c>
    </row>
    <row r="53" spans="1:42" ht="15.6" x14ac:dyDescent="0.3">
      <c r="A53" t="s">
        <v>216</v>
      </c>
      <c r="AB53">
        <v>103330070</v>
      </c>
      <c r="AC53">
        <v>79759772</v>
      </c>
      <c r="AD53">
        <v>31175757</v>
      </c>
      <c r="AE53">
        <v>84677833</v>
      </c>
      <c r="AF53">
        <v>34838980</v>
      </c>
      <c r="AG53">
        <v>6973245</v>
      </c>
      <c r="AH53">
        <v>4598188</v>
      </c>
      <c r="AI53">
        <v>37687380</v>
      </c>
      <c r="AJ53">
        <v>30970971</v>
      </c>
      <c r="AK53">
        <v>2410892</v>
      </c>
      <c r="AL53">
        <v>673505</v>
      </c>
      <c r="AM53">
        <v>9235357</v>
      </c>
      <c r="AN53">
        <v>2828009</v>
      </c>
      <c r="AO53">
        <v>1766575</v>
      </c>
      <c r="AP53">
        <v>2423157</v>
      </c>
    </row>
    <row r="54" spans="1:42" ht="15.6" x14ac:dyDescent="0.3">
      <c r="A54" t="s">
        <v>217</v>
      </c>
      <c r="B54">
        <v>-617501793</v>
      </c>
      <c r="C54">
        <v>-2756086594.9994507</v>
      </c>
      <c r="D54">
        <v>-2107960644.3496594</v>
      </c>
      <c r="E54">
        <v>-1365796899.0616601</v>
      </c>
      <c r="F54">
        <v>-93833496</v>
      </c>
      <c r="G54">
        <v>-984092727.03696489</v>
      </c>
      <c r="H54">
        <v>-868127981.02374661</v>
      </c>
      <c r="I54">
        <v>-945497616.07499588</v>
      </c>
      <c r="J54">
        <v>-202805441.21552512</v>
      </c>
      <c r="K54">
        <v>-1286329935.3231192</v>
      </c>
      <c r="L54">
        <v>-936737337.79205585</v>
      </c>
      <c r="M54">
        <v>-465694306.11243099</v>
      </c>
      <c r="N54">
        <v>-161394158.47393051</v>
      </c>
      <c r="O54">
        <v>-2279038923.1931176</v>
      </c>
      <c r="P54">
        <v>-507424928</v>
      </c>
      <c r="Q54">
        <v>-181873683</v>
      </c>
      <c r="R54">
        <v>-450989690</v>
      </c>
      <c r="S54">
        <v>-121114385</v>
      </c>
      <c r="T54">
        <v>-41857937</v>
      </c>
      <c r="U54">
        <v>-23850680</v>
      </c>
      <c r="V54">
        <v>0</v>
      </c>
      <c r="W54">
        <v>-35188904</v>
      </c>
      <c r="X54">
        <v>-23689039</v>
      </c>
      <c r="Y54">
        <v>-26782709</v>
      </c>
      <c r="Z54">
        <v>-26782709</v>
      </c>
      <c r="AA54">
        <v>-18890373</v>
      </c>
      <c r="AB54">
        <v>-77644982</v>
      </c>
      <c r="AC54">
        <v>-82298675</v>
      </c>
      <c r="AD54">
        <v>-82298675</v>
      </c>
      <c r="AE54">
        <v>-5428423</v>
      </c>
      <c r="AF54">
        <v>-6013277</v>
      </c>
      <c r="AG54">
        <v>-20118697</v>
      </c>
      <c r="AH54">
        <v>1661470</v>
      </c>
      <c r="AI54">
        <v>-5092490</v>
      </c>
      <c r="AJ54">
        <v>-3920559</v>
      </c>
      <c r="AK54">
        <v>-329515</v>
      </c>
      <c r="AL54">
        <v>-329515</v>
      </c>
      <c r="AM54">
        <v>-10231295</v>
      </c>
      <c r="AN54">
        <v>-8487468</v>
      </c>
      <c r="AO54">
        <v>-4696519</v>
      </c>
      <c r="AP54">
        <v>-2071855</v>
      </c>
    </row>
    <row r="55" spans="1:42" ht="15.6" x14ac:dyDescent="0.3">
      <c r="A55" t="s">
        <v>218</v>
      </c>
    </row>
    <row r="56" spans="1:42" ht="15.6" x14ac:dyDescent="0.3">
      <c r="A56" t="s">
        <v>219</v>
      </c>
    </row>
    <row r="57" spans="1:42" ht="15.6" x14ac:dyDescent="0.3">
      <c r="A57" t="s">
        <v>220</v>
      </c>
    </row>
    <row r="58" spans="1:42" ht="15.6" x14ac:dyDescent="0.3">
      <c r="A58" t="s">
        <v>221</v>
      </c>
    </row>
    <row r="59" spans="1:42" ht="15.6" x14ac:dyDescent="0.3">
      <c r="A59" t="s">
        <v>222</v>
      </c>
    </row>
    <row r="60" spans="1:42" ht="15.6" x14ac:dyDescent="0.3">
      <c r="A60" t="s">
        <v>223</v>
      </c>
    </row>
    <row r="61" spans="1:42" ht="15.6" x14ac:dyDescent="0.3">
      <c r="A61" t="s">
        <v>224</v>
      </c>
    </row>
    <row r="62" spans="1:42" ht="15.6" x14ac:dyDescent="0.3">
      <c r="A62" t="s">
        <v>225</v>
      </c>
      <c r="B62">
        <v>-5647318</v>
      </c>
      <c r="C62">
        <v>-10697959.758647872</v>
      </c>
      <c r="D62">
        <v>-783122.73728476313</v>
      </c>
      <c r="E62">
        <v>-3594669.3605072522</v>
      </c>
      <c r="F62">
        <v>-1616317</v>
      </c>
      <c r="G62">
        <v>-12743162.349489309</v>
      </c>
      <c r="H62">
        <v>-10273535.97325984</v>
      </c>
      <c r="I62">
        <v>-7963721.2523841299</v>
      </c>
      <c r="J62">
        <v>-2017139.8351231432</v>
      </c>
      <c r="K62">
        <v>-27454274.587465312</v>
      </c>
      <c r="L62">
        <v>-23022115.899388798</v>
      </c>
      <c r="M62">
        <v>-25622283.750958271</v>
      </c>
      <c r="N62">
        <v>-4447310.3703253604</v>
      </c>
      <c r="O62">
        <v>-5321497.5176026421</v>
      </c>
      <c r="P62">
        <v>-702392</v>
      </c>
      <c r="Q62">
        <v>-247341</v>
      </c>
      <c r="R62">
        <v>-91671</v>
      </c>
      <c r="S62">
        <v>-457316</v>
      </c>
      <c r="T62">
        <v>-132134</v>
      </c>
      <c r="U62">
        <v>-96696</v>
      </c>
      <c r="W62">
        <v>-693914</v>
      </c>
      <c r="X62">
        <v>-677876</v>
      </c>
      <c r="Y62">
        <v>-335303</v>
      </c>
      <c r="Z62">
        <v>-222676</v>
      </c>
      <c r="AA62">
        <v>-871681</v>
      </c>
      <c r="AB62">
        <v>-673216</v>
      </c>
      <c r="AC62">
        <v>-387402</v>
      </c>
      <c r="AD62">
        <v>-378426</v>
      </c>
      <c r="AE62">
        <v>-552968</v>
      </c>
      <c r="AF62">
        <v>-439300</v>
      </c>
      <c r="AG62">
        <v>-58645</v>
      </c>
      <c r="AH62">
        <v>-58645</v>
      </c>
      <c r="AI62">
        <v>-1199311</v>
      </c>
      <c r="AJ62">
        <v>-1001810</v>
      </c>
      <c r="AK62">
        <v>-891683</v>
      </c>
      <c r="AL62">
        <v>-277896</v>
      </c>
      <c r="AM62">
        <v>-1315962</v>
      </c>
      <c r="AN62">
        <v>-2061605</v>
      </c>
      <c r="AO62">
        <v>-1129647</v>
      </c>
      <c r="AP62">
        <v>-1018400</v>
      </c>
    </row>
    <row r="63" spans="1:42" ht="15.6" x14ac:dyDescent="0.3">
      <c r="A63" t="s">
        <v>226</v>
      </c>
      <c r="C63">
        <v>-116940.74995944642</v>
      </c>
      <c r="D63">
        <v>0</v>
      </c>
      <c r="E63">
        <v>0</v>
      </c>
      <c r="G63">
        <v>-157796.11910514618</v>
      </c>
      <c r="H63">
        <v>-88567.479772631428</v>
      </c>
      <c r="I63">
        <v>-92522.658744576445</v>
      </c>
      <c r="J63">
        <v>0</v>
      </c>
      <c r="K63">
        <v>-1282312.126643199</v>
      </c>
      <c r="L63">
        <v>0</v>
      </c>
      <c r="M63">
        <v>0</v>
      </c>
      <c r="R63">
        <v>0</v>
      </c>
      <c r="S63">
        <v>-15939084</v>
      </c>
      <c r="V63">
        <v>-32672</v>
      </c>
    </row>
    <row r="64" spans="1:42" ht="15.6" x14ac:dyDescent="0.3">
      <c r="A64" t="s">
        <v>227</v>
      </c>
    </row>
    <row r="65" spans="1:42" ht="15.6" x14ac:dyDescent="0.3">
      <c r="A65" t="s">
        <v>228</v>
      </c>
    </row>
    <row r="66" spans="1:42" ht="15.6" x14ac:dyDescent="0.3"/>
    <row r="67" spans="1:42" ht="15.6" x14ac:dyDescent="0.3">
      <c r="A67" t="s">
        <v>229</v>
      </c>
      <c r="B67">
        <v>-5813952679</v>
      </c>
      <c r="C67">
        <v>-23221835646.612629</v>
      </c>
      <c r="D67">
        <v>-16202734766.544901</v>
      </c>
      <c r="E67">
        <v>-12257076035.813183</v>
      </c>
      <c r="F67">
        <v>-5841136507</v>
      </c>
      <c r="G67">
        <v>-26800022342.769367</v>
      </c>
      <c r="H67">
        <v>-25216053479.682625</v>
      </c>
      <c r="I67">
        <v>-14931319480.093008</v>
      </c>
      <c r="J67">
        <v>-10545010216.760798</v>
      </c>
      <c r="K67">
        <v>-8775326114.6764565</v>
      </c>
      <c r="L67">
        <v>-1928254406.5763538</v>
      </c>
      <c r="M67">
        <v>-2566431694.4820528</v>
      </c>
      <c r="N67">
        <v>-653354411.68788552</v>
      </c>
      <c r="O67">
        <v>-5996024681.7888641</v>
      </c>
      <c r="P67">
        <v>-1674551390</v>
      </c>
      <c r="Q67">
        <v>-1284859101</v>
      </c>
      <c r="R67">
        <v>-907690930</v>
      </c>
      <c r="S67">
        <v>-2747095115</v>
      </c>
      <c r="T67">
        <v>-1244336489</v>
      </c>
      <c r="U67">
        <v>-741231242</v>
      </c>
      <c r="V67">
        <v>-284895688</v>
      </c>
      <c r="W67">
        <v>-235838342</v>
      </c>
      <c r="X67">
        <v>-156615750</v>
      </c>
      <c r="Y67">
        <v>-125820178</v>
      </c>
      <c r="Z67">
        <v>-79843955</v>
      </c>
      <c r="AA67">
        <v>-151758695</v>
      </c>
      <c r="AB67">
        <v>-44045966</v>
      </c>
      <c r="AC67">
        <v>-37365457</v>
      </c>
      <c r="AD67">
        <v>-3467817</v>
      </c>
      <c r="AE67">
        <v>-141513174</v>
      </c>
      <c r="AF67">
        <v>-44586875</v>
      </c>
      <c r="AG67">
        <v>12405983</v>
      </c>
      <c r="AH67">
        <v>-7781921</v>
      </c>
      <c r="AI67">
        <v>242383084</v>
      </c>
      <c r="AJ67">
        <v>-53121295</v>
      </c>
      <c r="AK67">
        <v>-98286555</v>
      </c>
      <c r="AL67">
        <v>-106282097</v>
      </c>
      <c r="AM67">
        <v>-43221774</v>
      </c>
      <c r="AN67">
        <v>-157599330</v>
      </c>
      <c r="AO67">
        <v>-111466291</v>
      </c>
      <c r="AP67">
        <v>-74730581</v>
      </c>
    </row>
    <row r="68" spans="1:42" ht="15.6" x14ac:dyDescent="0.3">
      <c r="A68" t="s">
        <v>230</v>
      </c>
      <c r="C68">
        <v>0</v>
      </c>
      <c r="D68">
        <v>0</v>
      </c>
      <c r="E68">
        <v>0</v>
      </c>
      <c r="G68">
        <v>1328470437.7591887</v>
      </c>
      <c r="H68">
        <v>1411748038.3310325</v>
      </c>
      <c r="I68">
        <v>0</v>
      </c>
      <c r="J68">
        <v>0</v>
      </c>
      <c r="K68">
        <v>0</v>
      </c>
      <c r="L68">
        <v>0</v>
      </c>
      <c r="AB68">
        <v>0</v>
      </c>
      <c r="AF68">
        <v>733568</v>
      </c>
      <c r="AI68">
        <v>494676970</v>
      </c>
      <c r="AJ68">
        <v>141935428</v>
      </c>
      <c r="AK68">
        <v>33545783</v>
      </c>
      <c r="AL68">
        <v>33545783</v>
      </c>
      <c r="AM68">
        <v>23617991</v>
      </c>
      <c r="AN68">
        <v>23617991</v>
      </c>
      <c r="AO68">
        <v>23617991</v>
      </c>
    </row>
    <row r="69" spans="1:42" ht="15.6" x14ac:dyDescent="0.3">
      <c r="A69" t="s">
        <v>231</v>
      </c>
    </row>
    <row r="70" spans="1:42" ht="15.6" x14ac:dyDescent="0.3">
      <c r="A70" t="s">
        <v>232</v>
      </c>
      <c r="R70">
        <v>0</v>
      </c>
      <c r="S70">
        <v>0</v>
      </c>
      <c r="V70">
        <v>0</v>
      </c>
      <c r="W70">
        <v>0</v>
      </c>
      <c r="AA70">
        <v>-29062000</v>
      </c>
    </row>
    <row r="71" spans="1:42" ht="15.6" x14ac:dyDescent="0.3">
      <c r="A71" t="s">
        <v>233</v>
      </c>
    </row>
    <row r="72" spans="1:42" ht="15.6" x14ac:dyDescent="0.3">
      <c r="A72" t="s">
        <v>234</v>
      </c>
    </row>
    <row r="73" spans="1:42" ht="15.6" x14ac:dyDescent="0.3">
      <c r="A73" t="s">
        <v>235</v>
      </c>
    </row>
    <row r="74" spans="1:42" ht="15.6" x14ac:dyDescent="0.3">
      <c r="A74" t="s">
        <v>236</v>
      </c>
    </row>
    <row r="75" spans="1:42" ht="15.6" x14ac:dyDescent="0.3">
      <c r="A75" t="s">
        <v>223</v>
      </c>
    </row>
    <row r="76" spans="1:42" ht="15.6" x14ac:dyDescent="0.3">
      <c r="A76" t="s">
        <v>222</v>
      </c>
    </row>
    <row r="77" spans="1:42" ht="15.6" x14ac:dyDescent="0.3">
      <c r="A77" t="s">
        <v>237</v>
      </c>
      <c r="B77">
        <v>8196498</v>
      </c>
      <c r="C77">
        <v>278765340.29291922</v>
      </c>
      <c r="D77">
        <v>5459892.4141042158</v>
      </c>
      <c r="E77">
        <v>2836514.6511587813</v>
      </c>
      <c r="F77">
        <v>521473</v>
      </c>
      <c r="G77">
        <v>7782262.8095347863</v>
      </c>
      <c r="H77">
        <v>30504924.786666743</v>
      </c>
      <c r="I77">
        <v>34510449.260333888</v>
      </c>
      <c r="J77">
        <v>146944.99284188863</v>
      </c>
      <c r="K77">
        <v>159392784.27212757</v>
      </c>
      <c r="L77">
        <v>93286596.442679808</v>
      </c>
      <c r="M77">
        <v>141553342.29709095</v>
      </c>
      <c r="N77">
        <v>141681406.007572</v>
      </c>
      <c r="O77">
        <v>233637.29066678142</v>
      </c>
      <c r="P77">
        <v>0</v>
      </c>
      <c r="Q77">
        <v>0</v>
      </c>
      <c r="R77">
        <v>0</v>
      </c>
      <c r="S77">
        <v>2127879</v>
      </c>
      <c r="U77">
        <v>0</v>
      </c>
      <c r="V77">
        <v>0</v>
      </c>
      <c r="W77">
        <v>19227997</v>
      </c>
      <c r="X77">
        <v>217371</v>
      </c>
      <c r="Y77">
        <v>210435</v>
      </c>
      <c r="Z77">
        <v>199224</v>
      </c>
      <c r="AA77">
        <v>377023</v>
      </c>
      <c r="AB77">
        <v>0</v>
      </c>
      <c r="AC77">
        <v>0</v>
      </c>
      <c r="AD77">
        <v>0</v>
      </c>
      <c r="AE77">
        <v>44813488</v>
      </c>
      <c r="AF77">
        <v>39477998</v>
      </c>
      <c r="AG77">
        <v>46354228</v>
      </c>
      <c r="AH77">
        <v>2967022</v>
      </c>
      <c r="AI77">
        <v>5674089</v>
      </c>
      <c r="AJ77">
        <v>-7525315</v>
      </c>
      <c r="AK77">
        <v>2533708</v>
      </c>
      <c r="AL77">
        <v>2296952</v>
      </c>
      <c r="AM77">
        <v>198630039</v>
      </c>
      <c r="AN77">
        <v>-193740</v>
      </c>
      <c r="AO77">
        <v>0</v>
      </c>
      <c r="AP77">
        <v>35036594</v>
      </c>
    </row>
    <row r="78" spans="1:42" ht="15.6" x14ac:dyDescent="0.3">
      <c r="A78" t="s">
        <v>238</v>
      </c>
      <c r="B78">
        <v>-4864832358</v>
      </c>
      <c r="C78">
        <v>-20157572840.351002</v>
      </c>
      <c r="D78">
        <v>-12844236601.1299</v>
      </c>
      <c r="E78">
        <v>-9428876121.9066906</v>
      </c>
      <c r="F78">
        <v>-4376789571</v>
      </c>
      <c r="G78">
        <v>-26706075501.199429</v>
      </c>
      <c r="H78">
        <v>-18051300838.527096</v>
      </c>
      <c r="I78">
        <v>-8850221660.4240456</v>
      </c>
      <c r="J78">
        <v>-4403319351.1041031</v>
      </c>
      <c r="K78">
        <v>-3947265076.9152975</v>
      </c>
      <c r="L78">
        <v>-2021541003.019033</v>
      </c>
      <c r="M78">
        <v>-1348259119.2368524</v>
      </c>
      <c r="N78">
        <v>-795035817.69545722</v>
      </c>
      <c r="O78">
        <v>-6978197055.0017853</v>
      </c>
      <c r="P78">
        <v>-1674551390</v>
      </c>
      <c r="Q78">
        <v>-1284859101</v>
      </c>
      <c r="R78">
        <v>-907690930</v>
      </c>
      <c r="S78">
        <v>-2749222994</v>
      </c>
      <c r="T78">
        <v>-1244336489</v>
      </c>
      <c r="U78">
        <v>-741231242</v>
      </c>
      <c r="V78">
        <v>-284895688</v>
      </c>
      <c r="W78">
        <v>-255066339</v>
      </c>
      <c r="X78">
        <v>-156833121</v>
      </c>
      <c r="Y78">
        <v>-126030613</v>
      </c>
      <c r="Z78">
        <v>-80043179</v>
      </c>
      <c r="AA78">
        <v>-123073718</v>
      </c>
      <c r="AB78">
        <v>-44045966</v>
      </c>
      <c r="AC78">
        <v>-37365457</v>
      </c>
      <c r="AD78">
        <v>-3467817</v>
      </c>
      <c r="AE78">
        <v>-186326662</v>
      </c>
      <c r="AF78">
        <v>-84798441</v>
      </c>
      <c r="AG78">
        <v>-33948245</v>
      </c>
      <c r="AH78">
        <v>-10748943</v>
      </c>
      <c r="AI78">
        <v>-330033991</v>
      </c>
      <c r="AJ78">
        <v>-259597424</v>
      </c>
      <c r="AK78">
        <v>-206432062</v>
      </c>
      <c r="AL78">
        <v>-125757840</v>
      </c>
      <c r="AM78">
        <v>-265469804</v>
      </c>
      <c r="AN78">
        <v>-181023581</v>
      </c>
      <c r="AO78">
        <v>-135084282</v>
      </c>
      <c r="AP78">
        <v>-109767175</v>
      </c>
    </row>
    <row r="79" spans="1:42" ht="15.6" x14ac:dyDescent="0.3">
      <c r="A79" t="s">
        <v>239</v>
      </c>
    </row>
    <row r="80" spans="1:42" ht="15.6" x14ac:dyDescent="0.3">
      <c r="A80" t="s">
        <v>240</v>
      </c>
    </row>
    <row r="81" spans="1:40" ht="15.6" x14ac:dyDescent="0.3">
      <c r="A81" t="s">
        <v>241</v>
      </c>
      <c r="AH81">
        <v>46013293</v>
      </c>
      <c r="AI81">
        <v>72066016</v>
      </c>
      <c r="AJ81">
        <v>72066016</v>
      </c>
      <c r="AK81">
        <v>72066016</v>
      </c>
      <c r="AL81">
        <v>-16366992</v>
      </c>
      <c r="AM81">
        <v>0</v>
      </c>
      <c r="AN81">
        <v>0</v>
      </c>
    </row>
    <row r="82" spans="1:40" ht="15.6" x14ac:dyDescent="0.3">
      <c r="A82" t="s">
        <v>242</v>
      </c>
      <c r="AH82">
        <v>-46013293</v>
      </c>
    </row>
    <row r="83" spans="1:40" ht="15.6" x14ac:dyDescent="0.3">
      <c r="A83" t="s">
        <v>243</v>
      </c>
    </row>
    <row r="84" spans="1:40" ht="15.6" x14ac:dyDescent="0.3">
      <c r="A84" t="s">
        <v>244</v>
      </c>
    </row>
    <row r="85" spans="1:40" ht="15.6" x14ac:dyDescent="0.3">
      <c r="A85" t="s">
        <v>245</v>
      </c>
    </row>
    <row r="86" spans="1:40" ht="15.6" x14ac:dyDescent="0.3">
      <c r="A86" t="s">
        <v>246</v>
      </c>
    </row>
    <row r="87" spans="1:40" ht="15.6" x14ac:dyDescent="0.3">
      <c r="A87" t="s">
        <v>247</v>
      </c>
      <c r="B87">
        <v>-957316819</v>
      </c>
      <c r="C87">
        <v>-3343028146.5545454</v>
      </c>
      <c r="D87">
        <v>-3363958057.8291049</v>
      </c>
      <c r="E87">
        <v>-2831036428.5576515</v>
      </c>
      <c r="F87">
        <v>-1464868409</v>
      </c>
      <c r="G87">
        <v>-2692357859.8955455</v>
      </c>
      <c r="H87">
        <v>-8607005604.2732277</v>
      </c>
      <c r="I87">
        <v>-7574254069.5361624</v>
      </c>
      <c r="J87">
        <v>-4824932452.3024607</v>
      </c>
      <c r="K87">
        <v>-3802336671.5112624</v>
      </c>
      <c r="L87">
        <v>0</v>
      </c>
      <c r="M87">
        <v>-1359725917.5422909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U87">
        <v>0</v>
      </c>
      <c r="AN87">
        <v>0</v>
      </c>
    </row>
    <row r="88" spans="1:40" ht="15.6" x14ac:dyDescent="0.3">
      <c r="A88" t="s">
        <v>248</v>
      </c>
      <c r="P88">
        <v>0</v>
      </c>
      <c r="Q88">
        <v>0</v>
      </c>
      <c r="R88">
        <v>0</v>
      </c>
      <c r="S88">
        <v>0</v>
      </c>
      <c r="U88">
        <v>0</v>
      </c>
      <c r="AN88">
        <v>0</v>
      </c>
    </row>
    <row r="89" spans="1:40" ht="15.6" x14ac:dyDescent="0.3">
      <c r="A89" t="s">
        <v>249</v>
      </c>
    </row>
    <row r="90" spans="1:40" ht="15.6" x14ac:dyDescent="0.3">
      <c r="A90" t="s">
        <v>250</v>
      </c>
    </row>
    <row r="91" spans="1:40" ht="15.6" x14ac:dyDescent="0.3">
      <c r="A91" t="s">
        <v>251</v>
      </c>
    </row>
    <row r="92" spans="1:40" ht="15.6" x14ac:dyDescent="0.3">
      <c r="A92" t="s">
        <v>214</v>
      </c>
    </row>
    <row r="93" spans="1:40" ht="15.6" x14ac:dyDescent="0.3">
      <c r="A93" t="s">
        <v>215</v>
      </c>
    </row>
    <row r="94" spans="1:40" ht="15.6" x14ac:dyDescent="0.3">
      <c r="A94" t="s">
        <v>216</v>
      </c>
    </row>
    <row r="95" spans="1:40" ht="15.6" x14ac:dyDescent="0.3">
      <c r="A95" t="s">
        <v>218</v>
      </c>
    </row>
    <row r="96" spans="1:40" ht="15.6" x14ac:dyDescent="0.3">
      <c r="A96" t="s">
        <v>219</v>
      </c>
    </row>
    <row r="97" spans="1:42" ht="15.6" x14ac:dyDescent="0.3">
      <c r="A97" t="s">
        <v>217</v>
      </c>
    </row>
    <row r="98" spans="1:42" ht="15.6" x14ac:dyDescent="0.3">
      <c r="A98" t="s">
        <v>227</v>
      </c>
      <c r="C98">
        <v>0</v>
      </c>
      <c r="E98">
        <v>0</v>
      </c>
      <c r="G98">
        <v>1262158317.7568834</v>
      </c>
      <c r="I98">
        <v>1458645800.6068637</v>
      </c>
      <c r="J98">
        <v>-1316905358.3470752</v>
      </c>
      <c r="K98">
        <v>-1185117150.5220242</v>
      </c>
      <c r="O98">
        <v>981938735.92225349</v>
      </c>
      <c r="AB98">
        <v>0</v>
      </c>
      <c r="AF98">
        <v>0</v>
      </c>
    </row>
    <row r="99" spans="1:42" ht="15.6" x14ac:dyDescent="0.3">
      <c r="A99" t="s">
        <v>228</v>
      </c>
    </row>
    <row r="100" spans="1:42" ht="15.6" x14ac:dyDescent="0.3"/>
    <row r="101" spans="1:42" ht="15.6" x14ac:dyDescent="0.3">
      <c r="A101" t="s">
        <v>252</v>
      </c>
      <c r="B101">
        <v>143300543</v>
      </c>
      <c r="C101">
        <v>16256664072.398796</v>
      </c>
      <c r="D101">
        <v>15880303299.27289</v>
      </c>
      <c r="E101">
        <v>11539260000.781624</v>
      </c>
      <c r="F101">
        <v>3116076757</v>
      </c>
      <c r="G101">
        <v>9019312098.796051</v>
      </c>
      <c r="H101">
        <v>4343165807.7041836</v>
      </c>
      <c r="I101">
        <v>5114747596.7361279</v>
      </c>
      <c r="J101">
        <v>6911677770.3326921</v>
      </c>
      <c r="K101">
        <v>-2477887741.9126039</v>
      </c>
      <c r="L101">
        <v>-6476902415.1266422</v>
      </c>
      <c r="M101">
        <v>-6034250657.6038876</v>
      </c>
      <c r="N101">
        <v>-2816183152.5802097</v>
      </c>
      <c r="O101">
        <v>6017829906.9681187</v>
      </c>
      <c r="P101">
        <v>1052397753</v>
      </c>
      <c r="Q101">
        <v>500121484</v>
      </c>
      <c r="R101">
        <v>964122999</v>
      </c>
      <c r="S101">
        <v>2040315356</v>
      </c>
      <c r="T101">
        <v>786124714</v>
      </c>
      <c r="U101">
        <v>921818010</v>
      </c>
      <c r="V101">
        <v>-335028395</v>
      </c>
      <c r="W101">
        <v>-795668105</v>
      </c>
      <c r="X101">
        <v>-825792000</v>
      </c>
      <c r="Y101">
        <v>-363032916</v>
      </c>
      <c r="Z101">
        <v>18204286</v>
      </c>
      <c r="AA101">
        <v>-589758517</v>
      </c>
      <c r="AB101">
        <v>-353785507</v>
      </c>
      <c r="AC101">
        <v>-488422975</v>
      </c>
      <c r="AD101">
        <v>-26997592</v>
      </c>
      <c r="AE101">
        <v>379800405</v>
      </c>
      <c r="AF101">
        <v>497327580</v>
      </c>
      <c r="AG101">
        <v>194666138</v>
      </c>
      <c r="AH101">
        <v>63204864</v>
      </c>
      <c r="AI101">
        <v>-452818197</v>
      </c>
      <c r="AJ101">
        <v>-363853070</v>
      </c>
      <c r="AK101">
        <v>-58003396</v>
      </c>
      <c r="AL101">
        <v>-41621401</v>
      </c>
      <c r="AM101">
        <v>235663991</v>
      </c>
      <c r="AN101">
        <v>104873257</v>
      </c>
      <c r="AO101">
        <v>-72275660</v>
      </c>
      <c r="AP101">
        <v>-110744614</v>
      </c>
    </row>
    <row r="102" spans="1:42" ht="15.6" x14ac:dyDescent="0.3">
      <c r="A102" t="s">
        <v>253</v>
      </c>
    </row>
    <row r="103" spans="1:42" ht="15.6" x14ac:dyDescent="0.3">
      <c r="A103" t="s">
        <v>254</v>
      </c>
    </row>
    <row r="104" spans="1:42" ht="15.6" x14ac:dyDescent="0.3">
      <c r="A104" t="s">
        <v>255</v>
      </c>
      <c r="P104">
        <v>0</v>
      </c>
      <c r="Q104">
        <v>0</v>
      </c>
      <c r="R104">
        <v>0</v>
      </c>
      <c r="S104">
        <v>0</v>
      </c>
      <c r="U104">
        <v>0</v>
      </c>
      <c r="AN104">
        <v>0</v>
      </c>
    </row>
    <row r="105" spans="1:42" ht="15.6" x14ac:dyDescent="0.3">
      <c r="A105" t="s">
        <v>256</v>
      </c>
    </row>
    <row r="106" spans="1:42" ht="15.6" x14ac:dyDescent="0.3">
      <c r="A106" t="s">
        <v>257</v>
      </c>
      <c r="K106">
        <v>-89285944.065448582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  <c r="AN106">
        <v>0</v>
      </c>
    </row>
    <row r="107" spans="1:42" ht="15.6" x14ac:dyDescent="0.3">
      <c r="A107" t="s">
        <v>258</v>
      </c>
      <c r="E107">
        <v>0</v>
      </c>
      <c r="I107">
        <v>0</v>
      </c>
      <c r="J107">
        <v>0</v>
      </c>
      <c r="K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AN107">
        <v>0</v>
      </c>
    </row>
    <row r="108" spans="1:42" ht="15.6" x14ac:dyDescent="0.3">
      <c r="A108" t="s">
        <v>259</v>
      </c>
    </row>
    <row r="109" spans="1:42" ht="15.6" x14ac:dyDescent="0.3">
      <c r="A109" t="s">
        <v>260</v>
      </c>
      <c r="B109">
        <v>2813594170</v>
      </c>
      <c r="C109">
        <v>36068090384.738022</v>
      </c>
      <c r="D109">
        <v>30230925965.584145</v>
      </c>
      <c r="E109">
        <v>21452152129.769478</v>
      </c>
      <c r="F109">
        <v>7686231464</v>
      </c>
      <c r="G109">
        <v>33222252276.391151</v>
      </c>
      <c r="H109">
        <v>23401264337.37038</v>
      </c>
      <c r="I109">
        <v>18271324106.219284</v>
      </c>
      <c r="J109">
        <v>11692916054.091759</v>
      </c>
      <c r="K109">
        <v>16713818268.382948</v>
      </c>
      <c r="L109">
        <v>9526480358.1038742</v>
      </c>
      <c r="M109">
        <v>5377746567.821187</v>
      </c>
      <c r="N109">
        <v>1764227799.8242564</v>
      </c>
      <c r="O109">
        <v>19185964185.729164</v>
      </c>
      <c r="P109">
        <v>4876277290</v>
      </c>
      <c r="Q109">
        <v>2061023463</v>
      </c>
      <c r="R109">
        <v>1016000000</v>
      </c>
      <c r="S109">
        <v>5151436462</v>
      </c>
      <c r="T109">
        <v>2889942829</v>
      </c>
      <c r="U109">
        <v>2228128781</v>
      </c>
      <c r="V109">
        <v>376615104</v>
      </c>
      <c r="W109">
        <v>2875827846</v>
      </c>
      <c r="X109">
        <v>3653779725</v>
      </c>
      <c r="Y109">
        <v>1856728290</v>
      </c>
      <c r="Z109">
        <v>1382132952</v>
      </c>
      <c r="AA109">
        <v>3070561746</v>
      </c>
      <c r="AB109">
        <v>2260478342</v>
      </c>
      <c r="AC109">
        <v>921406744</v>
      </c>
      <c r="AD109">
        <v>404938794</v>
      </c>
      <c r="AE109">
        <v>2898822734</v>
      </c>
      <c r="AF109">
        <v>2600839049</v>
      </c>
      <c r="AG109">
        <v>1526736201</v>
      </c>
      <c r="AH109">
        <v>807376104</v>
      </c>
      <c r="AI109">
        <v>2693723417</v>
      </c>
      <c r="AK109">
        <v>-58988997</v>
      </c>
      <c r="AL109">
        <v>-27594387</v>
      </c>
      <c r="AM109">
        <v>797121713</v>
      </c>
      <c r="AN109">
        <v>0</v>
      </c>
    </row>
    <row r="110" spans="1:42" ht="15.6" x14ac:dyDescent="0.3">
      <c r="A110" t="s">
        <v>261</v>
      </c>
      <c r="B110">
        <v>-2280864180</v>
      </c>
      <c r="C110">
        <v>-18345357959.135563</v>
      </c>
      <c r="D110">
        <v>-13354587140.064945</v>
      </c>
      <c r="E110">
        <v>-9223376851.3835773</v>
      </c>
      <c r="F110">
        <v>-4274748667</v>
      </c>
      <c r="G110">
        <v>-19134197796.376663</v>
      </c>
      <c r="H110">
        <v>-13946550410.227552</v>
      </c>
      <c r="I110">
        <v>-9160158651.6603813</v>
      </c>
      <c r="J110">
        <v>-4404889732.880702</v>
      </c>
      <c r="K110">
        <v>-14945478216.700363</v>
      </c>
      <c r="L110">
        <v>-12081315039.266329</v>
      </c>
      <c r="M110">
        <v>-7680284921.9275036</v>
      </c>
      <c r="N110">
        <v>-3705201169.7443762</v>
      </c>
      <c r="O110">
        <v>-8813627761.7915764</v>
      </c>
      <c r="P110">
        <v>-2911246728</v>
      </c>
      <c r="Q110">
        <v>-1422691459</v>
      </c>
      <c r="R110">
        <v>-429281440</v>
      </c>
      <c r="S110">
        <v>-2802385561</v>
      </c>
      <c r="T110">
        <v>-1858269327</v>
      </c>
      <c r="U110">
        <v>-1188654162</v>
      </c>
      <c r="V110">
        <v>-608325922</v>
      </c>
      <c r="W110">
        <v>-3326659661</v>
      </c>
      <c r="X110">
        <v>-4224758350</v>
      </c>
      <c r="Y110">
        <v>-2049090115</v>
      </c>
      <c r="Z110">
        <v>-1229474989</v>
      </c>
      <c r="AA110">
        <v>-3302973642</v>
      </c>
      <c r="AB110">
        <v>-2609747635</v>
      </c>
      <c r="AC110">
        <v>-1142196016</v>
      </c>
      <c r="AD110">
        <v>-416777386</v>
      </c>
      <c r="AE110">
        <v>-2579670969</v>
      </c>
      <c r="AF110">
        <v>-2107244029</v>
      </c>
      <c r="AG110">
        <v>-1336151069</v>
      </c>
      <c r="AH110">
        <v>-744637749</v>
      </c>
      <c r="AI110">
        <v>-3151247536</v>
      </c>
      <c r="AJ110">
        <v>-362769584</v>
      </c>
      <c r="AL110">
        <v>-12181700</v>
      </c>
      <c r="AM110">
        <v>-572954254</v>
      </c>
      <c r="AN110">
        <v>-67932053</v>
      </c>
      <c r="AO110">
        <v>-86622308</v>
      </c>
      <c r="AP110">
        <v>-112804862</v>
      </c>
    </row>
    <row r="111" spans="1:42" ht="15.6" x14ac:dyDescent="0.3">
      <c r="A111" t="s">
        <v>262</v>
      </c>
    </row>
    <row r="112" spans="1:42" ht="15.6" x14ac:dyDescent="0.3">
      <c r="A112" t="s">
        <v>263</v>
      </c>
    </row>
    <row r="113" spans="1:42" ht="15.6" x14ac:dyDescent="0.3">
      <c r="A113" t="s">
        <v>264</v>
      </c>
      <c r="B113">
        <v>-75640220</v>
      </c>
      <c r="C113">
        <v>-258686639.16471583</v>
      </c>
      <c r="D113">
        <v>-177079082.08502561</v>
      </c>
      <c r="E113">
        <v>-166969132.34275916</v>
      </c>
      <c r="F113">
        <v>-61935681</v>
      </c>
      <c r="G113">
        <v>-362540106.09502912</v>
      </c>
      <c r="H113">
        <v>-405429139.36339176</v>
      </c>
      <c r="I113">
        <v>-245705306.31391016</v>
      </c>
      <c r="J113">
        <v>-82492030.727446869</v>
      </c>
      <c r="K113">
        <v>-329404811.4924587</v>
      </c>
      <c r="L113">
        <v>-148388817.00413278</v>
      </c>
      <c r="M113">
        <v>-81267718.174165383</v>
      </c>
      <c r="N113">
        <v>-178044661.1376276</v>
      </c>
      <c r="O113">
        <v>-177870439.28044835</v>
      </c>
      <c r="P113">
        <v>-19704824</v>
      </c>
      <c r="Q113">
        <v>-10321905</v>
      </c>
      <c r="R113">
        <v>-12230130</v>
      </c>
      <c r="S113">
        <v>-6491609</v>
      </c>
      <c r="T113">
        <v>-15171046</v>
      </c>
      <c r="U113">
        <v>-6025643</v>
      </c>
      <c r="V113">
        <v>-4939413</v>
      </c>
      <c r="W113">
        <v>-11480377</v>
      </c>
      <c r="X113">
        <v>-6100468</v>
      </c>
      <c r="Y113">
        <v>-4440906</v>
      </c>
      <c r="Z113">
        <v>-5213737</v>
      </c>
      <c r="AA113">
        <v>-628699</v>
      </c>
      <c r="AB113">
        <v>-4516214</v>
      </c>
      <c r="AC113">
        <v>-2031141</v>
      </c>
      <c r="AF113">
        <v>0</v>
      </c>
    </row>
    <row r="114" spans="1:42" ht="15.6" x14ac:dyDescent="0.3">
      <c r="A114" t="s">
        <v>249</v>
      </c>
      <c r="AB114">
        <v>0</v>
      </c>
      <c r="AE114">
        <v>60648640</v>
      </c>
      <c r="AF114">
        <v>3732560</v>
      </c>
      <c r="AJ114">
        <v>-1083486</v>
      </c>
      <c r="AK114">
        <v>985601</v>
      </c>
      <c r="AO114">
        <v>14346648</v>
      </c>
      <c r="AP114">
        <v>2060248</v>
      </c>
    </row>
    <row r="115" spans="1:42" ht="15.6" x14ac:dyDescent="0.3">
      <c r="A115" t="s">
        <v>250</v>
      </c>
      <c r="AB115">
        <v>0</v>
      </c>
      <c r="AD115">
        <v>-15159000</v>
      </c>
      <c r="AF115">
        <v>0</v>
      </c>
      <c r="AG115">
        <v>4081006</v>
      </c>
      <c r="AH115">
        <v>466509</v>
      </c>
      <c r="AI115">
        <v>4705922</v>
      </c>
      <c r="AL115">
        <v>-1845314</v>
      </c>
      <c r="AM115">
        <v>11496532</v>
      </c>
      <c r="AN115">
        <v>-27194690</v>
      </c>
    </row>
    <row r="116" spans="1:42" ht="15.6" x14ac:dyDescent="0.3">
      <c r="A116" t="s">
        <v>251</v>
      </c>
    </row>
    <row r="117" spans="1:42" ht="15.6" x14ac:dyDescent="0.3">
      <c r="A117" t="s">
        <v>213</v>
      </c>
      <c r="C117">
        <v>0</v>
      </c>
      <c r="D117">
        <v>0</v>
      </c>
      <c r="E117">
        <v>0</v>
      </c>
      <c r="G117">
        <v>-2664739705.1817513</v>
      </c>
      <c r="H117">
        <v>-2664931803.0995126</v>
      </c>
      <c r="I117">
        <v>-2664813588.3801713</v>
      </c>
      <c r="J117">
        <v>0</v>
      </c>
      <c r="K117">
        <v>-2973068508.656497</v>
      </c>
      <c r="L117">
        <v>-2972943823.5235615</v>
      </c>
      <c r="M117">
        <v>-2973092486.7330093</v>
      </c>
      <c r="N117">
        <v>0</v>
      </c>
      <c r="O117">
        <v>-2703809674.4877963</v>
      </c>
      <c r="P117">
        <v>-699978000</v>
      </c>
      <c r="T117">
        <v>0</v>
      </c>
    </row>
    <row r="118" spans="1:42" ht="15.6" x14ac:dyDescent="0.3">
      <c r="A118" t="s">
        <v>215</v>
      </c>
      <c r="B118">
        <v>-449080196</v>
      </c>
      <c r="C118">
        <v>-1930064194.6336944</v>
      </c>
      <c r="D118">
        <v>-1431762760.3085988</v>
      </c>
      <c r="E118">
        <v>-948605607.55945563</v>
      </c>
      <c r="F118">
        <v>-462235328</v>
      </c>
      <c r="G118">
        <v>-3757842722.2309933</v>
      </c>
      <c r="H118">
        <v>-3547316175.2939515</v>
      </c>
      <c r="I118">
        <v>-2250796232.9473562</v>
      </c>
      <c r="J118">
        <v>-915834383.24944413</v>
      </c>
      <c r="K118">
        <v>-3045788187.9959621</v>
      </c>
      <c r="L118">
        <v>-2275737949.0796623</v>
      </c>
      <c r="M118">
        <v>-1585092720.36412</v>
      </c>
      <c r="N118">
        <v>-1148779690.256129</v>
      </c>
      <c r="O118">
        <v>-3225420348.1087041</v>
      </c>
      <c r="P118">
        <v>-602179455</v>
      </c>
      <c r="Q118">
        <v>-402536320</v>
      </c>
      <c r="R118">
        <v>-167193523</v>
      </c>
      <c r="S118">
        <v>-521233238</v>
      </c>
      <c r="T118">
        <v>-376353967</v>
      </c>
      <c r="U118">
        <v>-217246911</v>
      </c>
      <c r="V118">
        <v>-116653956</v>
      </c>
      <c r="W118">
        <v>-475383934</v>
      </c>
      <c r="X118">
        <v>-368195379</v>
      </c>
      <c r="Y118">
        <v>-220180601</v>
      </c>
      <c r="Z118">
        <v>-171084794</v>
      </c>
      <c r="AA118">
        <v>-503052145</v>
      </c>
      <c r="AC118">
        <v>-265602562</v>
      </c>
    </row>
    <row r="119" spans="1:42" ht="15.6" x14ac:dyDescent="0.3">
      <c r="A119" t="s">
        <v>216</v>
      </c>
      <c r="B119">
        <v>135290969</v>
      </c>
      <c r="C119">
        <v>722682480.5947516</v>
      </c>
      <c r="D119">
        <v>612806316.14731443</v>
      </c>
      <c r="E119">
        <v>426059462.29794043</v>
      </c>
      <c r="F119">
        <v>228764969</v>
      </c>
      <c r="G119">
        <v>1716380152.2893333</v>
      </c>
      <c r="H119">
        <v>1506128998.3182089</v>
      </c>
      <c r="I119">
        <v>1164897269.8186626</v>
      </c>
      <c r="J119">
        <v>621977863.09852469</v>
      </c>
      <c r="K119">
        <v>2191319658.6151795</v>
      </c>
      <c r="L119">
        <v>1475002855.6431663</v>
      </c>
      <c r="M119">
        <v>907740621.7737236</v>
      </c>
      <c r="N119">
        <v>451614568.73366773</v>
      </c>
      <c r="O119">
        <v>1752593944.9074743</v>
      </c>
      <c r="P119">
        <v>409229470</v>
      </c>
      <c r="Q119">
        <v>274647705</v>
      </c>
      <c r="R119">
        <v>132043309</v>
      </c>
      <c r="S119">
        <v>218989302</v>
      </c>
      <c r="T119">
        <v>145976225</v>
      </c>
      <c r="U119">
        <v>105615945</v>
      </c>
      <c r="V119">
        <v>18275792</v>
      </c>
      <c r="W119">
        <v>142028021</v>
      </c>
      <c r="X119">
        <v>119482472</v>
      </c>
      <c r="Y119">
        <v>53950416</v>
      </c>
      <c r="Z119">
        <v>41844854</v>
      </c>
      <c r="AA119">
        <v>146334223</v>
      </c>
    </row>
    <row r="120" spans="1:42" ht="15.6" x14ac:dyDescent="0.3">
      <c r="A120" t="s">
        <v>218</v>
      </c>
    </row>
    <row r="121" spans="1:42" ht="15.6" x14ac:dyDescent="0.3">
      <c r="A121" t="s">
        <v>219</v>
      </c>
    </row>
    <row r="122" spans="1:42" ht="15.6" x14ac:dyDescent="0.3">
      <c r="A122" t="s">
        <v>217</v>
      </c>
    </row>
    <row r="123" spans="1:42" ht="15.6" x14ac:dyDescent="0.3">
      <c r="A123" t="s">
        <v>227</v>
      </c>
      <c r="R123">
        <v>424784783</v>
      </c>
      <c r="AN123">
        <v>200000000</v>
      </c>
    </row>
    <row r="124" spans="1:42" ht="15.6" x14ac:dyDescent="0.3">
      <c r="A124" t="s">
        <v>228</v>
      </c>
    </row>
    <row r="125" spans="1:42" ht="15.6" x14ac:dyDescent="0.3">
      <c r="A125" t="s">
        <v>265</v>
      </c>
      <c r="B125">
        <v>-2123429184</v>
      </c>
      <c r="C125">
        <v>6022411291.0937233</v>
      </c>
      <c r="D125">
        <v>7978081913.0648012</v>
      </c>
      <c r="E125">
        <v>6902228475.5667362</v>
      </c>
      <c r="F125">
        <v>2492390518</v>
      </c>
      <c r="G125">
        <v>373212759.44798183</v>
      </c>
      <c r="H125">
        <v>-1277486.5062098703</v>
      </c>
      <c r="I125">
        <v>757838184.72319186</v>
      </c>
      <c r="J125">
        <v>765833587.5871377</v>
      </c>
      <c r="K125">
        <v>-302744057.25927997</v>
      </c>
      <c r="L125">
        <v>1119664800.8226085</v>
      </c>
      <c r="M125">
        <v>-6744700.3193649789</v>
      </c>
      <c r="N125">
        <v>1638916000.4029415</v>
      </c>
      <c r="O125">
        <v>1428658056.1567192</v>
      </c>
      <c r="P125">
        <v>321507833</v>
      </c>
      <c r="Q125">
        <v>-287392241</v>
      </c>
      <c r="R125">
        <v>-242409645</v>
      </c>
      <c r="S125">
        <v>210750388</v>
      </c>
      <c r="T125">
        <v>82474015</v>
      </c>
      <c r="U125">
        <v>151602849</v>
      </c>
      <c r="V125">
        <v>-273694703</v>
      </c>
      <c r="W125">
        <v>195140665</v>
      </c>
      <c r="X125">
        <v>188327051</v>
      </c>
      <c r="Y125">
        <v>344418208</v>
      </c>
      <c r="Z125">
        <v>186067535</v>
      </c>
      <c r="AA125">
        <v>68636091</v>
      </c>
      <c r="AB125">
        <v>78883940</v>
      </c>
      <c r="AC125">
        <v>38602064</v>
      </c>
      <c r="AD125">
        <v>63436842</v>
      </c>
      <c r="AE125">
        <v>-6551429</v>
      </c>
      <c r="AF125">
        <v>-35071288</v>
      </c>
      <c r="AG125">
        <v>-40605642</v>
      </c>
      <c r="AH125">
        <v>-68692820</v>
      </c>
      <c r="AI125">
        <v>17938043</v>
      </c>
      <c r="AJ125">
        <v>-25854029</v>
      </c>
      <c r="AK125">
        <v>163785623</v>
      </c>
      <c r="AL125">
        <v>-18062524</v>
      </c>
      <c r="AM125">
        <v>10603932</v>
      </c>
      <c r="AN125">
        <v>38526030</v>
      </c>
      <c r="AO125">
        <v>53211320</v>
      </c>
      <c r="AP125">
        <v>221747943</v>
      </c>
    </row>
    <row r="126" spans="1:42" ht="15.6" x14ac:dyDescent="0.3">
      <c r="A126" t="s">
        <v>266</v>
      </c>
      <c r="N126">
        <v>-357358942.90498126</v>
      </c>
      <c r="O126">
        <v>-1155515851.874141</v>
      </c>
      <c r="AO126">
        <v>0</v>
      </c>
      <c r="AP126">
        <v>0</v>
      </c>
    </row>
    <row r="127" spans="1:42" ht="15.6" x14ac:dyDescent="0.3">
      <c r="A127" t="s">
        <v>267</v>
      </c>
      <c r="B127">
        <v>-2123429184</v>
      </c>
      <c r="C127">
        <v>6022411291.0937233</v>
      </c>
      <c r="D127">
        <v>7978081913.0648012</v>
      </c>
      <c r="E127">
        <v>6902228475.5667362</v>
      </c>
      <c r="F127">
        <v>2492390518</v>
      </c>
      <c r="G127">
        <v>373212759.44798183</v>
      </c>
      <c r="H127">
        <v>-1277486.5062098703</v>
      </c>
      <c r="I127">
        <v>757838184.72319186</v>
      </c>
      <c r="J127">
        <v>765833587.5871377</v>
      </c>
      <c r="K127">
        <v>-302744057.25927997</v>
      </c>
      <c r="L127">
        <v>1119664800.8226085</v>
      </c>
      <c r="M127">
        <v>-6744700.3193649789</v>
      </c>
      <c r="N127">
        <v>1281557057.4979601</v>
      </c>
      <c r="O127">
        <v>273142204.28257805</v>
      </c>
      <c r="P127">
        <v>321507833</v>
      </c>
      <c r="Q127">
        <v>-287392241</v>
      </c>
      <c r="R127">
        <v>-242409645</v>
      </c>
      <c r="S127">
        <v>210750388</v>
      </c>
      <c r="T127">
        <v>82474015</v>
      </c>
      <c r="U127">
        <v>151602849</v>
      </c>
      <c r="V127">
        <v>-273694703</v>
      </c>
      <c r="W127">
        <v>195140665</v>
      </c>
      <c r="X127">
        <v>188327051</v>
      </c>
      <c r="Y127">
        <v>344418208</v>
      </c>
      <c r="Z127">
        <v>186067535</v>
      </c>
      <c r="AA127">
        <v>68636091</v>
      </c>
      <c r="AB127">
        <v>78883940</v>
      </c>
      <c r="AC127">
        <v>38602064</v>
      </c>
      <c r="AD127">
        <v>63436842</v>
      </c>
      <c r="AE127">
        <v>-6551429</v>
      </c>
      <c r="AF127">
        <v>-35071288</v>
      </c>
      <c r="AG127">
        <v>-40605642</v>
      </c>
      <c r="AH127">
        <v>-68692820</v>
      </c>
      <c r="AI127">
        <v>17938043</v>
      </c>
      <c r="AJ127">
        <v>-25854029</v>
      </c>
      <c r="AK127">
        <v>163785623</v>
      </c>
      <c r="AL127">
        <v>-18062524</v>
      </c>
      <c r="AM127">
        <v>10603932</v>
      </c>
      <c r="AN127">
        <v>38526030</v>
      </c>
      <c r="AO127">
        <v>53211320</v>
      </c>
      <c r="AP127">
        <v>221747943</v>
      </c>
    </row>
    <row r="128" spans="1:42" ht="15.6" x14ac:dyDescent="0.3">
      <c r="A128" t="s">
        <v>268</v>
      </c>
      <c r="B128">
        <v>7188751235</v>
      </c>
      <c r="C128">
        <v>1523877074.1210461</v>
      </c>
      <c r="D128">
        <v>1522860925.5356646</v>
      </c>
      <c r="E128">
        <v>1523114114.2104421</v>
      </c>
      <c r="F128">
        <v>1523418032</v>
      </c>
      <c r="G128">
        <v>1661329133.0255644</v>
      </c>
      <c r="H128">
        <v>1527937873.7837324</v>
      </c>
      <c r="I128">
        <v>1664289538.8680053</v>
      </c>
      <c r="J128">
        <v>1665185993.0588453</v>
      </c>
      <c r="K128">
        <v>3232454450.4198246</v>
      </c>
      <c r="L128">
        <v>3221863297.6748424</v>
      </c>
      <c r="M128">
        <v>3232308023.5180769</v>
      </c>
      <c r="N128">
        <v>3223585150.4394178</v>
      </c>
      <c r="O128">
        <v>2959284740.0087123</v>
      </c>
      <c r="P128">
        <v>527522186</v>
      </c>
      <c r="Q128">
        <v>527522186</v>
      </c>
      <c r="R128">
        <v>527522186</v>
      </c>
      <c r="S128">
        <v>316771798</v>
      </c>
      <c r="T128">
        <v>316771798</v>
      </c>
      <c r="U128">
        <v>316771798</v>
      </c>
      <c r="V128">
        <v>316771798</v>
      </c>
      <c r="W128">
        <v>121631133</v>
      </c>
      <c r="X128">
        <v>121503123</v>
      </c>
      <c r="Y128">
        <v>122584660</v>
      </c>
      <c r="Z128">
        <v>121471803</v>
      </c>
      <c r="AA128">
        <v>52995042</v>
      </c>
      <c r="AB128">
        <v>52995042</v>
      </c>
      <c r="AC128">
        <v>52995042</v>
      </c>
      <c r="AD128">
        <v>53026362</v>
      </c>
      <c r="AE128">
        <v>59546471</v>
      </c>
      <c r="AF128">
        <v>59546471</v>
      </c>
      <c r="AG128">
        <v>59546471</v>
      </c>
      <c r="AH128">
        <v>59546471</v>
      </c>
      <c r="AI128">
        <v>41608428</v>
      </c>
      <c r="AJ128">
        <v>41608428</v>
      </c>
      <c r="AK128">
        <v>41608428</v>
      </c>
      <c r="AL128">
        <v>41608428</v>
      </c>
      <c r="AM128">
        <v>31004496</v>
      </c>
      <c r="AN128">
        <v>31004496</v>
      </c>
      <c r="AO128">
        <v>31004496</v>
      </c>
      <c r="AP128">
        <v>31004496</v>
      </c>
    </row>
    <row r="129" spans="1:42" ht="15.6" x14ac:dyDescent="0.3">
      <c r="A129" t="s">
        <v>269</v>
      </c>
      <c r="B129">
        <v>4407385139</v>
      </c>
      <c r="C129">
        <v>7186653842.0898666</v>
      </c>
      <c r="D129">
        <v>9193029844.1975517</v>
      </c>
      <c r="E129">
        <v>8208350739.8974762</v>
      </c>
      <c r="F129">
        <v>3876990400</v>
      </c>
      <c r="G129">
        <v>1523877074.1210461</v>
      </c>
      <c r="H129">
        <v>1221518317.3021305</v>
      </c>
      <c r="I129">
        <v>2089755083.8668847</v>
      </c>
      <c r="J129">
        <v>2214670755.2787333</v>
      </c>
      <c r="K129">
        <v>1661358685.0973387</v>
      </c>
      <c r="L129">
        <v>3272986368.2337151</v>
      </c>
      <c r="M129">
        <v>2686795587.005239</v>
      </c>
      <c r="N129">
        <v>4505142207.9373779</v>
      </c>
      <c r="O129">
        <v>3232426944.2912908</v>
      </c>
      <c r="P129">
        <v>849030019</v>
      </c>
      <c r="Q129">
        <v>240129945</v>
      </c>
      <c r="R129">
        <v>285112541</v>
      </c>
      <c r="S129">
        <v>527522186</v>
      </c>
      <c r="T129">
        <v>399245813</v>
      </c>
      <c r="U129">
        <v>468374647</v>
      </c>
      <c r="V129">
        <v>43077095</v>
      </c>
      <c r="W129">
        <v>316771798</v>
      </c>
      <c r="X129">
        <v>309830174</v>
      </c>
      <c r="Y129">
        <v>467002868</v>
      </c>
      <c r="Z129">
        <v>307539338</v>
      </c>
      <c r="AA129">
        <v>121631133</v>
      </c>
      <c r="AB129">
        <v>131878982</v>
      </c>
      <c r="AC129">
        <v>91597106</v>
      </c>
      <c r="AD129">
        <v>116463204</v>
      </c>
      <c r="AE129">
        <v>52995042</v>
      </c>
      <c r="AF129">
        <v>24475183</v>
      </c>
      <c r="AG129">
        <v>18940829</v>
      </c>
      <c r="AH129">
        <v>-9146349</v>
      </c>
      <c r="AI129">
        <v>59546471</v>
      </c>
      <c r="AJ129">
        <v>15754399</v>
      </c>
      <c r="AK129">
        <v>205394051</v>
      </c>
      <c r="AL129">
        <v>23545904</v>
      </c>
      <c r="AM129">
        <v>41608428</v>
      </c>
      <c r="AN129">
        <v>69530526</v>
      </c>
      <c r="AO129">
        <v>84215816</v>
      </c>
      <c r="AP129">
        <v>252752439</v>
      </c>
    </row>
  </sheetData>
  <pageMargins left="0.7" right="0.7" top="0.75" bottom="0.75" header="0.3" footer="0.3"/>
  <ignoredErrors>
    <ignoredError sqref="A1:AP12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129"/>
  <sheetViews>
    <sheetView workbookViewId="0"/>
  </sheetViews>
  <sheetFormatPr defaultRowHeight="14.4" outlineLevelCol="2" x14ac:dyDescent="0.3"/>
  <cols>
    <col min="1" max="1" width="40" customWidth="1" outlineLevel="2"/>
    <col min="2" max="42" width="20" customWidth="1"/>
  </cols>
  <sheetData>
    <row r="1" spans="1:4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124</v>
      </c>
    </row>
    <row r="2" spans="1:42" ht="15.6" x14ac:dyDescent="0.3">
      <c r="A2" t="s">
        <v>125</v>
      </c>
    </row>
    <row r="3" spans="1:42" ht="15.6" x14ac:dyDescent="0.3">
      <c r="A3" t="s">
        <v>167</v>
      </c>
      <c r="B3">
        <v>3547222952</v>
      </c>
      <c r="C3">
        <v>4687069484.9707441</v>
      </c>
      <c r="D3">
        <v>680468869.73851776</v>
      </c>
      <c r="E3">
        <v>2402594242.5982943</v>
      </c>
      <c r="F3">
        <v>5217450268</v>
      </c>
      <c r="G3">
        <v>-2717687182.05093</v>
      </c>
      <c r="H3">
        <v>10297200117.392157</v>
      </c>
      <c r="I3">
        <v>6175244034.0648289</v>
      </c>
      <c r="J3">
        <v>4399166034.0152435</v>
      </c>
      <c r="K3">
        <v>1425648176.8041744</v>
      </c>
      <c r="L3">
        <v>930883970.75902939</v>
      </c>
      <c r="M3">
        <v>3485484087.0955381</v>
      </c>
      <c r="N3">
        <v>5108453564.6710367</v>
      </c>
      <c r="P3">
        <v>446316094</v>
      </c>
      <c r="Q3">
        <v>796187090</v>
      </c>
      <c r="R3">
        <v>-298841714</v>
      </c>
      <c r="S3">
        <v>376844357</v>
      </c>
      <c r="T3">
        <v>569669709</v>
      </c>
      <c r="U3">
        <v>-375213299</v>
      </c>
      <c r="V3">
        <v>346229380</v>
      </c>
      <c r="W3">
        <v>55912311</v>
      </c>
      <c r="X3">
        <v>337463499</v>
      </c>
      <c r="Y3">
        <v>585564098</v>
      </c>
      <c r="Z3">
        <v>247707204</v>
      </c>
      <c r="AA3">
        <v>333437890</v>
      </c>
      <c r="AB3">
        <v>-87675083</v>
      </c>
      <c r="AC3">
        <v>470488245</v>
      </c>
      <c r="AD3">
        <v>93902251</v>
      </c>
      <c r="AE3">
        <v>242973333</v>
      </c>
      <c r="AF3">
        <v>-240134230</v>
      </c>
      <c r="AG3">
        <v>-123562000</v>
      </c>
      <c r="AH3">
        <v>-124115763</v>
      </c>
      <c r="AI3">
        <v>-162747180</v>
      </c>
      <c r="AJ3">
        <v>71044762</v>
      </c>
      <c r="AK3">
        <v>190234600</v>
      </c>
      <c r="AL3">
        <v>129840974</v>
      </c>
      <c r="AM3">
        <v>-273090388</v>
      </c>
      <c r="AN3">
        <v>-145701168</v>
      </c>
      <c r="AO3">
        <v>-170269867</v>
      </c>
      <c r="AP3">
        <v>407223138</v>
      </c>
    </row>
    <row r="4" spans="1:42" ht="15.6" x14ac:dyDescent="0.3">
      <c r="A4" t="s">
        <v>164</v>
      </c>
      <c r="B4">
        <v>795959146</v>
      </c>
      <c r="C4">
        <v>1500191925.234314</v>
      </c>
      <c r="D4">
        <v>1223553648.0687129</v>
      </c>
      <c r="E4">
        <v>1338796653.015178</v>
      </c>
      <c r="F4">
        <v>724887649</v>
      </c>
      <c r="G4">
        <v>-735066066.66210508</v>
      </c>
      <c r="H4">
        <v>1418844413.4197917</v>
      </c>
      <c r="I4">
        <v>1753491274.2183573</v>
      </c>
      <c r="J4">
        <v>1809344944.9559853</v>
      </c>
      <c r="K4">
        <v>4726522643.6686192</v>
      </c>
      <c r="L4">
        <v>1774567812.9293337</v>
      </c>
      <c r="M4">
        <v>3107556133.7963619</v>
      </c>
      <c r="N4">
        <v>3089086196.7669744</v>
      </c>
      <c r="P4">
        <v>1613574278</v>
      </c>
      <c r="Q4">
        <v>1382475566</v>
      </c>
      <c r="R4">
        <v>1270245971</v>
      </c>
      <c r="S4">
        <v>900435231</v>
      </c>
      <c r="T4">
        <v>379493807</v>
      </c>
      <c r="U4">
        <v>313254330</v>
      </c>
      <c r="V4">
        <v>241903287</v>
      </c>
      <c r="W4">
        <v>110365415</v>
      </c>
      <c r="X4">
        <v>156538130</v>
      </c>
      <c r="Y4">
        <v>183895384</v>
      </c>
      <c r="Z4">
        <v>107205860</v>
      </c>
      <c r="AA4">
        <v>105759530</v>
      </c>
      <c r="AB4">
        <v>120954407</v>
      </c>
      <c r="AC4">
        <v>120589784</v>
      </c>
      <c r="AD4">
        <v>108039568</v>
      </c>
      <c r="AE4">
        <v>20485582</v>
      </c>
      <c r="AF4">
        <v>45291632</v>
      </c>
      <c r="AG4">
        <v>36391493</v>
      </c>
      <c r="AH4">
        <v>48309727</v>
      </c>
      <c r="AI4">
        <v>270447707</v>
      </c>
      <c r="AJ4">
        <v>198207817</v>
      </c>
      <c r="AK4">
        <v>4634898</v>
      </c>
      <c r="AL4">
        <v>-83716388</v>
      </c>
      <c r="AM4">
        <v>-280489210</v>
      </c>
      <c r="AN4">
        <v>-71814745</v>
      </c>
      <c r="AO4">
        <v>-20447185</v>
      </c>
      <c r="AP4">
        <v>9894731</v>
      </c>
    </row>
    <row r="5" spans="1:42" ht="15.6" x14ac:dyDescent="0.3">
      <c r="A5" t="s">
        <v>168</v>
      </c>
      <c r="B5">
        <v>3024887189</v>
      </c>
      <c r="C5">
        <v>1915671300.1014519</v>
      </c>
      <c r="D5">
        <v>1862265659.6199665</v>
      </c>
      <c r="E5">
        <v>3333931608.6705227</v>
      </c>
      <c r="F5">
        <v>4172562603</v>
      </c>
      <c r="G5">
        <v>1899011500.6886292</v>
      </c>
      <c r="H5">
        <v>3279700938.5299854</v>
      </c>
      <c r="I5">
        <v>3303962259.8891916</v>
      </c>
      <c r="J5">
        <v>3137107743.4211779</v>
      </c>
      <c r="K5">
        <v>-1633934381.498909</v>
      </c>
      <c r="L5">
        <v>-393865030.83016777</v>
      </c>
      <c r="M5">
        <v>8773194390.9501209</v>
      </c>
      <c r="N5">
        <v>2381669709.4608765</v>
      </c>
      <c r="P5">
        <v>-459640966</v>
      </c>
      <c r="Q5">
        <v>577542325</v>
      </c>
      <c r="R5">
        <v>256588159</v>
      </c>
      <c r="S5">
        <v>171785171</v>
      </c>
      <c r="T5">
        <v>206729738</v>
      </c>
      <c r="U5">
        <v>514494843</v>
      </c>
      <c r="V5">
        <v>430508453</v>
      </c>
      <c r="W5">
        <v>-290934836</v>
      </c>
      <c r="X5">
        <v>427041015</v>
      </c>
      <c r="Y5">
        <v>594811840</v>
      </c>
      <c r="Z5">
        <v>281650969</v>
      </c>
      <c r="AA5">
        <v>-604967329</v>
      </c>
      <c r="AB5">
        <v>369079928</v>
      </c>
      <c r="AC5">
        <v>439675592</v>
      </c>
      <c r="AD5">
        <v>450537614</v>
      </c>
      <c r="AE5">
        <v>-146587147</v>
      </c>
      <c r="AF5">
        <v>562247073</v>
      </c>
      <c r="AG5">
        <v>410417841</v>
      </c>
      <c r="AH5">
        <v>159015682</v>
      </c>
      <c r="AI5">
        <v>-4280057</v>
      </c>
      <c r="AJ5">
        <v>61255278</v>
      </c>
      <c r="AK5">
        <v>48780386</v>
      </c>
      <c r="AL5">
        <v>133678237</v>
      </c>
      <c r="AM5">
        <v>311393540</v>
      </c>
      <c r="AN5">
        <v>164095797</v>
      </c>
      <c r="AO5">
        <v>55027348</v>
      </c>
      <c r="AP5">
        <v>154830771</v>
      </c>
    </row>
    <row r="6" spans="1:42" ht="15.6" x14ac:dyDescent="0.3">
      <c r="A6" t="s">
        <v>169</v>
      </c>
      <c r="B6">
        <v>977320046</v>
      </c>
      <c r="C6">
        <v>966168408.38457727</v>
      </c>
      <c r="D6">
        <v>848970784.16346169</v>
      </c>
      <c r="E6">
        <v>932608880.5383873</v>
      </c>
      <c r="F6">
        <v>869508158</v>
      </c>
      <c r="G6">
        <v>516188997.78068304</v>
      </c>
      <c r="H6">
        <v>722617177.47201419</v>
      </c>
      <c r="I6">
        <v>799531090.20534575</v>
      </c>
      <c r="J6">
        <v>864821151.38675797</v>
      </c>
      <c r="K6">
        <v>869590159.04634714</v>
      </c>
      <c r="L6">
        <v>686889129.16537189</v>
      </c>
      <c r="M6">
        <v>806944836.0738765</v>
      </c>
      <c r="N6">
        <v>853611876.28917444</v>
      </c>
      <c r="P6">
        <v>456208342</v>
      </c>
      <c r="Q6">
        <v>329414910</v>
      </c>
      <c r="R6">
        <v>262850016</v>
      </c>
      <c r="S6">
        <v>169033729</v>
      </c>
      <c r="T6">
        <v>140474154</v>
      </c>
      <c r="U6">
        <v>135921092</v>
      </c>
      <c r="V6">
        <v>122515065</v>
      </c>
      <c r="W6">
        <v>124196679</v>
      </c>
      <c r="X6">
        <v>119906692</v>
      </c>
      <c r="Y6">
        <v>112426268</v>
      </c>
      <c r="Z6">
        <v>109068725</v>
      </c>
      <c r="AA6">
        <v>127991806</v>
      </c>
      <c r="AB6">
        <v>128112527</v>
      </c>
      <c r="AC6">
        <v>116712727</v>
      </c>
      <c r="AD6">
        <v>112652450</v>
      </c>
      <c r="AE6">
        <v>84051244</v>
      </c>
      <c r="AF6">
        <v>114266390</v>
      </c>
      <c r="AG6">
        <v>104702435</v>
      </c>
      <c r="AH6">
        <v>90998271</v>
      </c>
      <c r="AI6">
        <v>61632031</v>
      </c>
      <c r="AJ6">
        <v>59677178</v>
      </c>
      <c r="AK6">
        <v>60297775</v>
      </c>
      <c r="AL6">
        <v>43393282</v>
      </c>
      <c r="AM6">
        <v>44488923</v>
      </c>
      <c r="AN6">
        <v>53769803</v>
      </c>
      <c r="AO6">
        <v>44361522</v>
      </c>
      <c r="AP6">
        <v>42592401</v>
      </c>
    </row>
    <row r="7" spans="1:42" ht="15.6" x14ac:dyDescent="0.3">
      <c r="A7" t="s">
        <v>170</v>
      </c>
      <c r="B7">
        <v>59556652</v>
      </c>
      <c r="C7">
        <v>-825196069.98043764</v>
      </c>
      <c r="D7">
        <v>-286807938.24443007</v>
      </c>
      <c r="E7">
        <v>-158992857.03276002</v>
      </c>
      <c r="F7">
        <v>-148080960</v>
      </c>
      <c r="G7">
        <v>882435196.84728527</v>
      </c>
      <c r="H7">
        <v>-167319899.25240034</v>
      </c>
      <c r="I7">
        <v>-93014080.341120154</v>
      </c>
      <c r="J7">
        <v>29825479.572719976</v>
      </c>
      <c r="K7">
        <v>-12869743.440101266</v>
      </c>
      <c r="L7">
        <v>162954129.12317574</v>
      </c>
      <c r="M7">
        <v>336602974.02643621</v>
      </c>
      <c r="N7">
        <v>469298052.17309904</v>
      </c>
      <c r="P7">
        <v>5953581</v>
      </c>
      <c r="Q7">
        <v>-47303689</v>
      </c>
      <c r="R7">
        <v>76924531</v>
      </c>
      <c r="S7">
        <v>6868742</v>
      </c>
      <c r="T7">
        <v>-226118</v>
      </c>
      <c r="U7">
        <v>210580</v>
      </c>
      <c r="V7">
        <v>10738124</v>
      </c>
      <c r="W7">
        <v>-12010576</v>
      </c>
      <c r="X7">
        <v>2394990</v>
      </c>
      <c r="Y7">
        <v>14266962</v>
      </c>
      <c r="Z7">
        <v>6091669</v>
      </c>
      <c r="AA7">
        <v>-6935506</v>
      </c>
      <c r="AB7">
        <v>-12554385</v>
      </c>
    </row>
    <row r="8" spans="1:42" ht="15.6" x14ac:dyDescent="0.3">
      <c r="A8" t="s">
        <v>171</v>
      </c>
      <c r="B8">
        <v>33322284</v>
      </c>
      <c r="C8">
        <v>34015036.228954963</v>
      </c>
      <c r="D8">
        <v>-3815925.4700679705</v>
      </c>
      <c r="E8">
        <v>22073500.156955078</v>
      </c>
      <c r="F8">
        <v>23831027</v>
      </c>
      <c r="G8">
        <v>2911056.9383041561</v>
      </c>
      <c r="H8">
        <v>26128748.46085944</v>
      </c>
      <c r="I8">
        <v>27535404.915566944</v>
      </c>
      <c r="J8">
        <v>27223052.799237818</v>
      </c>
      <c r="K8">
        <v>8552905.5497197658</v>
      </c>
      <c r="L8">
        <v>8206406.8284702301</v>
      </c>
      <c r="M8">
        <v>44115501.324818082</v>
      </c>
      <c r="N8">
        <v>27417181.356148951</v>
      </c>
      <c r="P8">
        <v>3574759</v>
      </c>
      <c r="Q8">
        <v>3697501</v>
      </c>
      <c r="R8">
        <v>4396005</v>
      </c>
      <c r="S8">
        <v>7098754</v>
      </c>
      <c r="T8">
        <v>-334450</v>
      </c>
      <c r="U8">
        <v>679113</v>
      </c>
      <c r="V8">
        <v>-2504936</v>
      </c>
      <c r="W8">
        <v>19658639</v>
      </c>
      <c r="X8">
        <v>683865</v>
      </c>
      <c r="Y8">
        <v>864248</v>
      </c>
      <c r="Z8">
        <v>1905157</v>
      </c>
      <c r="AA8">
        <v>3056837</v>
      </c>
      <c r="AB8">
        <v>624051</v>
      </c>
      <c r="AC8">
        <v>38192</v>
      </c>
      <c r="AD8">
        <v>400884</v>
      </c>
      <c r="AE8">
        <v>341738</v>
      </c>
      <c r="AF8">
        <v>394092</v>
      </c>
      <c r="AG8">
        <v>0</v>
      </c>
      <c r="AH8">
        <v>332611</v>
      </c>
      <c r="AI8">
        <v>282147</v>
      </c>
      <c r="AJ8">
        <v>640118</v>
      </c>
      <c r="AK8">
        <v>-277594</v>
      </c>
      <c r="AL8">
        <v>1092359</v>
      </c>
      <c r="AM8">
        <v>-1419437</v>
      </c>
      <c r="AN8">
        <v>1956390</v>
      </c>
      <c r="AO8">
        <v>158519</v>
      </c>
      <c r="AP8">
        <v>1017387</v>
      </c>
    </row>
    <row r="9" spans="1:42" ht="15.6" x14ac:dyDescent="0.3">
      <c r="A9" t="s">
        <v>172</v>
      </c>
    </row>
    <row r="10" spans="1:42" ht="15.6" x14ac:dyDescent="0.3">
      <c r="A10" t="s">
        <v>173</v>
      </c>
    </row>
    <row r="11" spans="1:42" ht="15.6" x14ac:dyDescent="0.3">
      <c r="A11" t="s">
        <v>174</v>
      </c>
    </row>
    <row r="12" spans="1:42" ht="15.6" x14ac:dyDescent="0.3">
      <c r="A12" t="s">
        <v>175</v>
      </c>
      <c r="B12">
        <v>313789227</v>
      </c>
      <c r="C12">
        <v>183801773.95097136</v>
      </c>
      <c r="D12">
        <v>356157871.96527171</v>
      </c>
      <c r="E12">
        <v>422821125.76408362</v>
      </c>
      <c r="F12">
        <v>258521575</v>
      </c>
      <c r="G12">
        <v>238142093.57726812</v>
      </c>
      <c r="H12">
        <v>802057598.49155784</v>
      </c>
      <c r="I12">
        <v>942522388.6233952</v>
      </c>
      <c r="J12">
        <v>465125909.1152845</v>
      </c>
      <c r="K12">
        <v>-80735222.421266198</v>
      </c>
      <c r="L12">
        <v>255439856.65069294</v>
      </c>
      <c r="M12">
        <v>426598903.17238313</v>
      </c>
      <c r="N12">
        <v>331912091.55902165</v>
      </c>
      <c r="P12">
        <v>102731035</v>
      </c>
      <c r="Q12">
        <v>92738401</v>
      </c>
      <c r="R12">
        <v>40412498</v>
      </c>
      <c r="S12">
        <v>101540590</v>
      </c>
      <c r="T12">
        <v>98653088</v>
      </c>
      <c r="U12">
        <v>38055394</v>
      </c>
      <c r="V12">
        <v>69257148</v>
      </c>
      <c r="W12">
        <v>100510355</v>
      </c>
      <c r="X12">
        <v>52674193</v>
      </c>
      <c r="Y12">
        <v>61578770</v>
      </c>
      <c r="Z12">
        <v>94149338</v>
      </c>
      <c r="AA12">
        <v>-73966486</v>
      </c>
      <c r="AB12">
        <v>171794240</v>
      </c>
      <c r="AC12">
        <v>69647431</v>
      </c>
      <c r="AD12">
        <v>175560557</v>
      </c>
      <c r="AE12">
        <v>177640109</v>
      </c>
      <c r="AF12">
        <v>133905124</v>
      </c>
      <c r="AG12">
        <v>88624273</v>
      </c>
      <c r="AH12">
        <v>100040717</v>
      </c>
      <c r="AI12">
        <v>86614653</v>
      </c>
      <c r="AJ12">
        <v>98893794</v>
      </c>
      <c r="AK12">
        <v>112225961</v>
      </c>
      <c r="AL12">
        <v>77302581</v>
      </c>
      <c r="AM12">
        <v>232070</v>
      </c>
      <c r="AN12">
        <v>122238683</v>
      </c>
      <c r="AO12">
        <v>72367373</v>
      </c>
      <c r="AP12">
        <v>60421748</v>
      </c>
    </row>
    <row r="13" spans="1:42" ht="15.6" x14ac:dyDescent="0.3">
      <c r="A13" t="s">
        <v>176</v>
      </c>
    </row>
    <row r="14" spans="1:42" ht="15.6" x14ac:dyDescent="0.3">
      <c r="A14" t="s">
        <v>177</v>
      </c>
    </row>
    <row r="15" spans="1:42" ht="15.6" x14ac:dyDescent="0.3">
      <c r="A15" t="s">
        <v>178</v>
      </c>
      <c r="B15">
        <v>-315056341</v>
      </c>
      <c r="C15">
        <v>205932500.01830721</v>
      </c>
      <c r="D15">
        <v>-380855310.61974382</v>
      </c>
      <c r="E15">
        <v>1206225930.9497252</v>
      </c>
      <c r="F15">
        <v>1308467898</v>
      </c>
      <c r="G15">
        <v>-1060116574.2209477</v>
      </c>
      <c r="H15">
        <v>1663130966.8320379</v>
      </c>
      <c r="I15">
        <v>735117205.8912946</v>
      </c>
      <c r="J15">
        <v>1009400597.4686955</v>
      </c>
      <c r="K15">
        <v>81508552.93266201</v>
      </c>
      <c r="L15">
        <v>-2684629746.3100586</v>
      </c>
      <c r="M15">
        <v>8288558526.4803286</v>
      </c>
      <c r="N15">
        <v>1826849513.7846575</v>
      </c>
      <c r="P15">
        <v>-1253237783</v>
      </c>
      <c r="Q15">
        <v>28303062</v>
      </c>
      <c r="R15">
        <v>-374348227</v>
      </c>
      <c r="S15">
        <v>-565418732</v>
      </c>
      <c r="T15">
        <v>-45728987</v>
      </c>
      <c r="U15">
        <v>330356035</v>
      </c>
      <c r="V15">
        <v>111016289</v>
      </c>
      <c r="W15">
        <v>-629094789</v>
      </c>
      <c r="X15">
        <v>210185533</v>
      </c>
      <c r="Y15">
        <v>360320575</v>
      </c>
      <c r="Z15">
        <v>98065910</v>
      </c>
      <c r="AA15">
        <v>-725662273</v>
      </c>
      <c r="AB15">
        <v>79376552</v>
      </c>
      <c r="AC15">
        <v>183952700</v>
      </c>
      <c r="AD15">
        <v>185103515</v>
      </c>
      <c r="AE15">
        <v>-312789315</v>
      </c>
      <c r="AF15">
        <v>268463348</v>
      </c>
      <c r="AG15">
        <v>172531083</v>
      </c>
      <c r="AH15">
        <v>3032115</v>
      </c>
      <c r="AI15">
        <v>251307172</v>
      </c>
      <c r="AJ15">
        <v>32253037</v>
      </c>
      <c r="AK15">
        <v>-40326039</v>
      </c>
      <c r="AL15">
        <v>27234019</v>
      </c>
      <c r="AM15">
        <v>260877732</v>
      </c>
      <c r="AN15">
        <v>-21517672</v>
      </c>
      <c r="AO15">
        <v>-70513740</v>
      </c>
      <c r="AP15">
        <v>51582776</v>
      </c>
    </row>
    <row r="16" spans="1:42" ht="15.6" x14ac:dyDescent="0.3">
      <c r="A16" t="s">
        <v>179</v>
      </c>
    </row>
    <row r="17" spans="1:42" ht="15.6" x14ac:dyDescent="0.3">
      <c r="A17" t="s">
        <v>180</v>
      </c>
    </row>
    <row r="18" spans="1:42" ht="15.6" x14ac:dyDescent="0.3">
      <c r="A18" t="s">
        <v>181</v>
      </c>
      <c r="B18">
        <v>-26090737</v>
      </c>
      <c r="C18">
        <v>-15072252.695256814</v>
      </c>
      <c r="D18">
        <v>-34658490.334132165</v>
      </c>
      <c r="E18">
        <v>63461379.342465445</v>
      </c>
      <c r="F18">
        <v>-6881023</v>
      </c>
      <c r="G18">
        <v>37315715.065452039</v>
      </c>
      <c r="H18">
        <v>9146156.1715005152</v>
      </c>
      <c r="I18">
        <v>14898728.127115685</v>
      </c>
      <c r="J18">
        <v>-45323603.139666088</v>
      </c>
      <c r="K18">
        <v>4246865.2842891812</v>
      </c>
      <c r="L18">
        <v>-24594319.756936058</v>
      </c>
      <c r="M18">
        <v>-24039125.034425132</v>
      </c>
      <c r="N18">
        <v>-43007376.331932671</v>
      </c>
      <c r="P18">
        <v>-35558874</v>
      </c>
      <c r="Q18">
        <v>-25180757</v>
      </c>
      <c r="R18">
        <v>-39139137</v>
      </c>
      <c r="S18">
        <v>46691419</v>
      </c>
      <c r="T18">
        <v>-18755026</v>
      </c>
      <c r="U18">
        <v>-95061296</v>
      </c>
      <c r="V18">
        <v>99076660</v>
      </c>
      <c r="W18">
        <v>10287934</v>
      </c>
      <c r="X18">
        <v>11582032</v>
      </c>
      <c r="Y18">
        <v>3814468</v>
      </c>
      <c r="Z18">
        <v>-9702071</v>
      </c>
      <c r="AA18">
        <v>8811472</v>
      </c>
      <c r="AB18">
        <v>-12886103</v>
      </c>
      <c r="AC18">
        <v>17559259</v>
      </c>
      <c r="AD18">
        <v>-4739664</v>
      </c>
      <c r="AE18">
        <v>-62027775</v>
      </c>
      <c r="AF18">
        <v>25639628</v>
      </c>
      <c r="AG18">
        <v>-23985075</v>
      </c>
      <c r="AH18">
        <v>-7725514</v>
      </c>
      <c r="AI18">
        <v>-3983092</v>
      </c>
      <c r="AL18">
        <v>0</v>
      </c>
      <c r="AM18">
        <v>-27021368</v>
      </c>
    </row>
    <row r="19" spans="1:42" ht="15.6" x14ac:dyDescent="0.3">
      <c r="A19" t="s">
        <v>182</v>
      </c>
      <c r="J19">
        <v>0</v>
      </c>
      <c r="P19">
        <v>0</v>
      </c>
      <c r="Q19">
        <v>0</v>
      </c>
      <c r="R19">
        <v>0</v>
      </c>
      <c r="U19">
        <v>0</v>
      </c>
      <c r="V19">
        <v>0</v>
      </c>
    </row>
    <row r="20" spans="1:42" ht="15.6" x14ac:dyDescent="0.3">
      <c r="A20" t="s">
        <v>183</v>
      </c>
      <c r="B20">
        <v>642899775</v>
      </c>
      <c r="C20">
        <v>1677832266.3284719</v>
      </c>
      <c r="D20">
        <v>445537408.14082909</v>
      </c>
      <c r="E20">
        <v>573464704.2323215</v>
      </c>
      <c r="F20">
        <v>786807643</v>
      </c>
      <c r="G20">
        <v>823181600.74678135</v>
      </c>
      <c r="H20">
        <v>556203614.73339152</v>
      </c>
      <c r="I20">
        <v>546548311.53832996</v>
      </c>
      <c r="J20">
        <v>595011149.05707204</v>
      </c>
      <c r="K20">
        <v>-1190127542.0415831</v>
      </c>
      <c r="L20">
        <v>1508101423.6502352</v>
      </c>
      <c r="M20">
        <v>1520660265.4201689</v>
      </c>
      <c r="N20">
        <v>315130576.95504963</v>
      </c>
      <c r="P20">
        <v>260687974</v>
      </c>
      <c r="Q20">
        <v>195872897</v>
      </c>
      <c r="R20">
        <v>285492473</v>
      </c>
      <c r="S20">
        <v>407848871</v>
      </c>
      <c r="T20">
        <v>32647077</v>
      </c>
      <c r="U20">
        <v>104333925</v>
      </c>
      <c r="V20">
        <v>20410103</v>
      </c>
      <c r="W20">
        <v>95519968</v>
      </c>
      <c r="X20">
        <v>29615632</v>
      </c>
      <c r="Y20">
        <v>41543838</v>
      </c>
      <c r="Z20">
        <v>-17855211</v>
      </c>
      <c r="AA20">
        <v>61888206</v>
      </c>
      <c r="AB20">
        <v>14613046</v>
      </c>
      <c r="AC20">
        <v>38048308</v>
      </c>
      <c r="AD20">
        <v>-18440128</v>
      </c>
      <c r="AE20">
        <v>12203715</v>
      </c>
      <c r="AF20">
        <v>19616609</v>
      </c>
      <c r="AG20">
        <v>22544129</v>
      </c>
      <c r="AH20">
        <v>-25065639</v>
      </c>
      <c r="AI20">
        <v>-15829465</v>
      </c>
      <c r="AJ20">
        <v>-8879365</v>
      </c>
      <c r="AK20">
        <v>-3604843</v>
      </c>
      <c r="AL20">
        <v>-14829369</v>
      </c>
      <c r="AM20">
        <v>-50256598</v>
      </c>
      <c r="AN20">
        <v>-13814488</v>
      </c>
      <c r="AO20">
        <v>6290907</v>
      </c>
      <c r="AP20">
        <v>-525717</v>
      </c>
    </row>
    <row r="21" spans="1:42" ht="15.6" x14ac:dyDescent="0.3">
      <c r="A21" t="s">
        <v>184</v>
      </c>
      <c r="N21">
        <v>-1280323260.0644183</v>
      </c>
    </row>
    <row r="22" spans="1:42" ht="15.6" x14ac:dyDescent="0.3">
      <c r="A22" t="s">
        <v>185</v>
      </c>
      <c r="B22">
        <v>-2602</v>
      </c>
      <c r="C22">
        <v>-194964445.19780755</v>
      </c>
      <c r="D22">
        <v>5425271.5164305121</v>
      </c>
      <c r="E22">
        <v>-8.3507983283489011</v>
      </c>
      <c r="F22">
        <v>-521472</v>
      </c>
      <c r="G22">
        <v>-3422753.8192192651</v>
      </c>
      <c r="H22">
        <v>248519.61927992414</v>
      </c>
      <c r="I22">
        <v>-188372.74417627536</v>
      </c>
      <c r="J22">
        <v>-60146.875103648774</v>
      </c>
      <c r="K22">
        <v>65608750.889102466</v>
      </c>
      <c r="L22">
        <v>99780994.874983296</v>
      </c>
      <c r="M22">
        <v>19437951.384940907</v>
      </c>
      <c r="N22">
        <v>-119218946.2599242</v>
      </c>
      <c r="P22">
        <v>0</v>
      </c>
      <c r="Q22">
        <v>0</v>
      </c>
      <c r="R22">
        <v>0</v>
      </c>
      <c r="U22">
        <v>0</v>
      </c>
      <c r="V22">
        <v>0</v>
      </c>
      <c r="W22">
        <v>-3046</v>
      </c>
      <c r="X22">
        <v>-1922</v>
      </c>
      <c r="Y22">
        <v>-3289</v>
      </c>
      <c r="Z22">
        <v>-72548</v>
      </c>
      <c r="AA22">
        <v>-151385</v>
      </c>
      <c r="AB22">
        <v>0</v>
      </c>
      <c r="AC22">
        <v>0</v>
      </c>
      <c r="AD22">
        <v>0</v>
      </c>
      <c r="AE22">
        <v>6430</v>
      </c>
      <c r="AF22">
        <v>-38118</v>
      </c>
      <c r="AG22">
        <v>-12297</v>
      </c>
      <c r="AH22">
        <v>-2596879</v>
      </c>
      <c r="AI22">
        <v>-10993875</v>
      </c>
      <c r="AJ22">
        <v>9555341</v>
      </c>
      <c r="AK22">
        <v>-32516</v>
      </c>
      <c r="AL22">
        <v>-514635</v>
      </c>
      <c r="AM22">
        <v>86396777</v>
      </c>
      <c r="AN22">
        <v>-392724</v>
      </c>
      <c r="AO22">
        <v>458208</v>
      </c>
      <c r="AP22">
        <v>-257824</v>
      </c>
    </row>
    <row r="23" spans="1:42" ht="15.6" x14ac:dyDescent="0.3">
      <c r="A23" t="s">
        <v>186</v>
      </c>
      <c r="AF23">
        <v>0</v>
      </c>
      <c r="AI23">
        <v>0</v>
      </c>
      <c r="AJ23">
        <v>0</v>
      </c>
      <c r="AM23">
        <v>0</v>
      </c>
    </row>
    <row r="24" spans="1:42" ht="15.6" x14ac:dyDescent="0.3">
      <c r="A24" t="s">
        <v>187</v>
      </c>
    </row>
    <row r="25" spans="1:42" ht="15.6" x14ac:dyDescent="0.3">
      <c r="A25" t="s">
        <v>188</v>
      </c>
      <c r="C25">
        <v>0</v>
      </c>
      <c r="D25">
        <v>0</v>
      </c>
      <c r="G25">
        <v>31463459.626770854</v>
      </c>
      <c r="H25">
        <v>-533378459.18569022</v>
      </c>
      <c r="I25">
        <v>0</v>
      </c>
      <c r="J25">
        <v>0</v>
      </c>
      <c r="K25">
        <v>0</v>
      </c>
      <c r="AI25">
        <v>-373309628</v>
      </c>
      <c r="AJ25">
        <v>-137142881</v>
      </c>
      <c r="AM25">
        <v>-1904559</v>
      </c>
      <c r="AN25">
        <v>0</v>
      </c>
    </row>
    <row r="26" spans="1:42" ht="15.6" x14ac:dyDescent="0.3">
      <c r="A26" t="s">
        <v>189</v>
      </c>
    </row>
    <row r="27" spans="1:42" ht="15.6" x14ac:dyDescent="0.3">
      <c r="A27" t="s">
        <v>190</v>
      </c>
    </row>
    <row r="28" spans="1:42" ht="15.6" x14ac:dyDescent="0.3">
      <c r="A28" t="s">
        <v>191</v>
      </c>
      <c r="B28">
        <v>349525728</v>
      </c>
      <c r="C28">
        <v>1929363988.0560918</v>
      </c>
      <c r="D28">
        <v>-1665998239.2853856</v>
      </c>
      <c r="E28">
        <v>-996192263.6652385</v>
      </c>
      <c r="F28">
        <v>415449829</v>
      </c>
      <c r="G28">
        <v>-3763129015.0486736</v>
      </c>
      <c r="H28">
        <v>5523590989.9330339</v>
      </c>
      <c r="I28">
        <v>1866521778.8927562</v>
      </c>
      <c r="J28">
        <v>-342464073.31127125</v>
      </c>
      <c r="K28">
        <v>-1311633017.0197573</v>
      </c>
      <c r="L28">
        <v>18624052.487922668</v>
      </c>
      <c r="M28">
        <v>-8069791316.6318092</v>
      </c>
      <c r="N28">
        <v>-196460872.71255967</v>
      </c>
      <c r="P28">
        <v>-381610922</v>
      </c>
      <c r="Q28">
        <v>-1432791138</v>
      </c>
      <c r="R28">
        <v>-1374594483</v>
      </c>
      <c r="S28">
        <v>-599855331</v>
      </c>
      <c r="T28">
        <v>1488859</v>
      </c>
      <c r="U28">
        <v>-1179047768</v>
      </c>
      <c r="V28">
        <v>-326149688</v>
      </c>
      <c r="W28">
        <v>247997635</v>
      </c>
      <c r="X28">
        <v>-248866743</v>
      </c>
      <c r="Y28">
        <v>-193030499</v>
      </c>
      <c r="Z28">
        <v>-114144240</v>
      </c>
      <c r="AA28">
        <v>357087317</v>
      </c>
      <c r="AB28">
        <v>-85315297</v>
      </c>
      <c r="AC28">
        <v>-292459798</v>
      </c>
      <c r="AD28">
        <v>-259065959</v>
      </c>
      <c r="AE28">
        <v>456640370</v>
      </c>
      <c r="AF28">
        <v>-737342135</v>
      </c>
      <c r="AG28">
        <v>-470733678</v>
      </c>
      <c r="AH28">
        <v>-233003280</v>
      </c>
      <c r="AI28">
        <v>-355321920</v>
      </c>
      <c r="AJ28">
        <v>-108801258</v>
      </c>
      <c r="AK28">
        <v>258204649</v>
      </c>
      <c r="AL28">
        <v>151795284</v>
      </c>
      <c r="AM28">
        <v>-220012034</v>
      </c>
      <c r="AN28">
        <v>-98244964</v>
      </c>
      <c r="AO28">
        <v>-180653781</v>
      </c>
      <c r="AP28">
        <v>295628655</v>
      </c>
    </row>
    <row r="29" spans="1:42" ht="15.6" x14ac:dyDescent="0.3">
      <c r="A29" t="s">
        <v>192</v>
      </c>
      <c r="R29">
        <v>0</v>
      </c>
    </row>
    <row r="30" spans="1:42" ht="15.6" x14ac:dyDescent="0.3">
      <c r="A30" t="s">
        <v>193</v>
      </c>
    </row>
    <row r="31" spans="1:42" ht="15.6" x14ac:dyDescent="0.3">
      <c r="A31" t="s">
        <v>194</v>
      </c>
      <c r="B31">
        <v>362002401</v>
      </c>
      <c r="C31">
        <v>3039771635.7934322</v>
      </c>
      <c r="D31">
        <v>729305455.99545598</v>
      </c>
      <c r="E31">
        <v>-1439574557.3456678</v>
      </c>
      <c r="F31">
        <v>948417816</v>
      </c>
      <c r="G31">
        <v>-1295535214.673214</v>
      </c>
      <c r="H31">
        <v>-822118762.59720325</v>
      </c>
      <c r="I31">
        <v>8305628186.6439762</v>
      </c>
      <c r="J31">
        <v>-1317508173.7285399</v>
      </c>
      <c r="K31">
        <v>-2902233812.2967272</v>
      </c>
      <c r="L31">
        <v>-657848750.73400307</v>
      </c>
      <c r="M31">
        <v>-7009948013.8713102</v>
      </c>
      <c r="N31">
        <v>1018120348.4784086</v>
      </c>
      <c r="P31">
        <v>-1203554773</v>
      </c>
      <c r="Q31">
        <v>-1286580844</v>
      </c>
      <c r="R31">
        <v>-1245450191</v>
      </c>
      <c r="S31">
        <v>-1848227650</v>
      </c>
      <c r="T31">
        <v>-380599611</v>
      </c>
      <c r="U31">
        <v>-199287254</v>
      </c>
      <c r="V31">
        <v>-237942930</v>
      </c>
      <c r="W31">
        <v>69673060</v>
      </c>
      <c r="X31">
        <v>-223108396</v>
      </c>
      <c r="Y31">
        <v>-443826713</v>
      </c>
      <c r="Z31">
        <v>-188858944</v>
      </c>
      <c r="AA31">
        <v>198268323</v>
      </c>
      <c r="AB31">
        <v>-49435853</v>
      </c>
      <c r="AC31">
        <v>-453004338</v>
      </c>
      <c r="AD31">
        <v>-104380661</v>
      </c>
      <c r="AE31">
        <v>398638835</v>
      </c>
      <c r="AF31">
        <v>-683257629</v>
      </c>
      <c r="AG31">
        <v>-315298166</v>
      </c>
      <c r="AH31">
        <v>-209263359</v>
      </c>
      <c r="AI31">
        <v>-177228277</v>
      </c>
      <c r="AJ31">
        <v>-175411217</v>
      </c>
      <c r="AK31">
        <v>-21214976</v>
      </c>
      <c r="AL31">
        <v>-62410222</v>
      </c>
      <c r="AM31">
        <v>58780100</v>
      </c>
      <c r="AN31">
        <v>-135097750</v>
      </c>
      <c r="AO31">
        <v>99369751</v>
      </c>
      <c r="AP31">
        <v>-117151053</v>
      </c>
    </row>
    <row r="32" spans="1:42" ht="15.6" x14ac:dyDescent="0.3">
      <c r="A32" t="s">
        <v>195</v>
      </c>
    </row>
    <row r="33" spans="1:42" ht="15.6" x14ac:dyDescent="0.3">
      <c r="A33" t="s">
        <v>196</v>
      </c>
      <c r="B33">
        <v>1517982</v>
      </c>
      <c r="C33">
        <v>-6797550.3246088251</v>
      </c>
      <c r="D33">
        <v>3349807.3945470415</v>
      </c>
      <c r="E33">
        <v>-15137840.578841504</v>
      </c>
      <c r="F33">
        <v>-8104593</v>
      </c>
      <c r="G33">
        <v>1391214.3766742423</v>
      </c>
      <c r="H33">
        <v>-15173051.73092434</v>
      </c>
      <c r="I33">
        <v>-3827234.0935716815</v>
      </c>
      <c r="J33">
        <v>-11449409.170146445</v>
      </c>
      <c r="K33">
        <v>316863066.25239682</v>
      </c>
      <c r="L33">
        <v>-221928493.98427343</v>
      </c>
      <c r="M33">
        <v>-73915654.563358322</v>
      </c>
      <c r="N33">
        <v>-3880105.2457384304</v>
      </c>
      <c r="P33">
        <v>-52848114</v>
      </c>
      <c r="Q33">
        <v>-107249160</v>
      </c>
      <c r="R33">
        <v>-9047116</v>
      </c>
      <c r="S33">
        <v>-7943369</v>
      </c>
      <c r="T33">
        <v>-14072821</v>
      </c>
      <c r="U33">
        <v>-13390453</v>
      </c>
      <c r="V33">
        <v>5391085</v>
      </c>
      <c r="W33">
        <v>-30091745</v>
      </c>
      <c r="X33">
        <v>-576926</v>
      </c>
      <c r="Y33">
        <v>109227505</v>
      </c>
      <c r="Z33">
        <v>-10811376</v>
      </c>
      <c r="AA33">
        <v>13846067</v>
      </c>
      <c r="AB33">
        <v>-32104272</v>
      </c>
      <c r="AC33">
        <v>242321259</v>
      </c>
      <c r="AD33">
        <v>-79674042</v>
      </c>
      <c r="AE33">
        <v>48288582</v>
      </c>
      <c r="AF33">
        <v>-277856911</v>
      </c>
      <c r="AG33">
        <v>-4176136</v>
      </c>
      <c r="AH33">
        <v>-6681652</v>
      </c>
      <c r="AI33">
        <v>-115206555</v>
      </c>
      <c r="AJ33">
        <v>-3542527</v>
      </c>
      <c r="AK33">
        <v>-2239476</v>
      </c>
      <c r="AL33">
        <v>187557823</v>
      </c>
      <c r="AM33">
        <v>-261563383</v>
      </c>
      <c r="AN33">
        <v>45381730</v>
      </c>
      <c r="AO33">
        <v>47023374</v>
      </c>
      <c r="AP33">
        <v>-32122742</v>
      </c>
    </row>
    <row r="34" spans="1:42" ht="15.6" x14ac:dyDescent="0.3">
      <c r="A34" t="s">
        <v>197</v>
      </c>
      <c r="J34">
        <v>0</v>
      </c>
      <c r="K34">
        <v>0</v>
      </c>
      <c r="P34">
        <v>0</v>
      </c>
      <c r="Q34">
        <v>0</v>
      </c>
      <c r="R34">
        <v>0</v>
      </c>
    </row>
    <row r="35" spans="1:42" ht="15.6" x14ac:dyDescent="0.3">
      <c r="A35" t="s">
        <v>198</v>
      </c>
    </row>
    <row r="36" spans="1:42" ht="15.6" x14ac:dyDescent="0.3">
      <c r="A36" t="s">
        <v>199</v>
      </c>
    </row>
    <row r="37" spans="1:42" ht="15.6" x14ac:dyDescent="0.3">
      <c r="A37" t="s">
        <v>200</v>
      </c>
      <c r="B37">
        <v>-590100482</v>
      </c>
      <c r="C37">
        <v>-385355204.37770629</v>
      </c>
      <c r="D37">
        <v>300533992.78970039</v>
      </c>
      <c r="E37">
        <v>-668381439.56330585</v>
      </c>
      <c r="F37">
        <v>261774020</v>
      </c>
      <c r="G37">
        <v>-235388604.68245208</v>
      </c>
      <c r="H37">
        <v>1037071746.0796766</v>
      </c>
      <c r="I37">
        <v>-1047801015.2497942</v>
      </c>
      <c r="J37">
        <v>-679659458.34377217</v>
      </c>
      <c r="K37">
        <v>-98500161.854841709</v>
      </c>
      <c r="L37">
        <v>593888375.23994946</v>
      </c>
      <c r="M37">
        <v>-1049978367.4909759</v>
      </c>
      <c r="N37">
        <v>-674635589.74849868</v>
      </c>
      <c r="P37">
        <v>5020822</v>
      </c>
      <c r="Q37">
        <v>-117867113</v>
      </c>
      <c r="R37">
        <v>34697846</v>
      </c>
      <c r="S37">
        <v>246598949</v>
      </c>
      <c r="T37">
        <v>-316884380</v>
      </c>
      <c r="U37">
        <v>17856403</v>
      </c>
      <c r="V37">
        <v>-34501647</v>
      </c>
      <c r="W37">
        <v>76956040</v>
      </c>
      <c r="X37">
        <v>26977095</v>
      </c>
      <c r="Y37">
        <v>45216732</v>
      </c>
      <c r="Z37">
        <v>40267918</v>
      </c>
      <c r="AA37">
        <v>-20356327</v>
      </c>
      <c r="AB37">
        <v>-51098567</v>
      </c>
      <c r="AC37">
        <v>-17498945</v>
      </c>
      <c r="AD37">
        <v>-79621576</v>
      </c>
      <c r="AE37">
        <v>152914273</v>
      </c>
      <c r="AF37">
        <v>-70552292</v>
      </c>
      <c r="AG37">
        <v>21307790</v>
      </c>
      <c r="AH37">
        <v>-88121753</v>
      </c>
      <c r="AI37">
        <v>-23813002</v>
      </c>
      <c r="AJ37">
        <v>69525976</v>
      </c>
      <c r="AK37">
        <v>-38559955</v>
      </c>
      <c r="AL37">
        <v>-42967346</v>
      </c>
      <c r="AM37">
        <v>3277756</v>
      </c>
      <c r="AN37">
        <v>-48267305</v>
      </c>
      <c r="AO37">
        <v>-16551458</v>
      </c>
      <c r="AP37">
        <v>-3010045</v>
      </c>
    </row>
    <row r="38" spans="1:42" ht="15.6" x14ac:dyDescent="0.3">
      <c r="A38" t="s">
        <v>201</v>
      </c>
    </row>
    <row r="39" spans="1:42" ht="15.6" x14ac:dyDescent="0.3">
      <c r="A39" t="s">
        <v>202</v>
      </c>
      <c r="B39">
        <v>-35276164</v>
      </c>
      <c r="C39">
        <v>67521689.87975958</v>
      </c>
      <c r="D39">
        <v>53150433.136258326</v>
      </c>
      <c r="E39">
        <v>143259794.13451695</v>
      </c>
      <c r="F39">
        <v>-188766323</v>
      </c>
      <c r="G39">
        <v>304477390.47794378</v>
      </c>
      <c r="H39">
        <v>36568524.383344293</v>
      </c>
      <c r="I39">
        <v>-648962444.3880049</v>
      </c>
      <c r="J39">
        <v>-79700287.869407609</v>
      </c>
      <c r="K39">
        <v>2435051699.681777</v>
      </c>
      <c r="L39">
        <v>-1315260430.6919842</v>
      </c>
      <c r="M39">
        <v>-596790043.98393917</v>
      </c>
      <c r="N39">
        <v>-228726518.81075224</v>
      </c>
      <c r="P39">
        <v>133514270</v>
      </c>
      <c r="Q39">
        <v>-15133224</v>
      </c>
      <c r="R39">
        <v>-45787938</v>
      </c>
      <c r="S39">
        <v>194245997</v>
      </c>
      <c r="T39">
        <v>-153639527</v>
      </c>
      <c r="U39">
        <v>-179902937</v>
      </c>
      <c r="V39">
        <v>-40682829</v>
      </c>
      <c r="W39">
        <v>-5720375</v>
      </c>
      <c r="X39">
        <v>-28243963</v>
      </c>
      <c r="Y39">
        <v>2316305</v>
      </c>
      <c r="Z39">
        <v>-11804161</v>
      </c>
      <c r="AA39">
        <v>-2279312</v>
      </c>
      <c r="AB39">
        <v>5523623</v>
      </c>
      <c r="AC39">
        <v>-24558867</v>
      </c>
      <c r="AD39">
        <v>-6257214</v>
      </c>
      <c r="AE39">
        <v>-30555697</v>
      </c>
      <c r="AF39">
        <v>21836266</v>
      </c>
      <c r="AG39">
        <v>-15236591</v>
      </c>
      <c r="AH39">
        <v>13181350</v>
      </c>
      <c r="AI39">
        <v>-3456285</v>
      </c>
      <c r="AJ39">
        <v>192462</v>
      </c>
      <c r="AK39">
        <v>-11814561</v>
      </c>
      <c r="AL39">
        <v>35678052</v>
      </c>
      <c r="AM39">
        <v>55503076</v>
      </c>
      <c r="AN39">
        <v>-59301374</v>
      </c>
      <c r="AO39">
        <v>14490040</v>
      </c>
      <c r="AP39">
        <v>84868306</v>
      </c>
    </row>
    <row r="40" spans="1:42" ht="15.6" x14ac:dyDescent="0.3">
      <c r="A40" t="s">
        <v>203</v>
      </c>
      <c r="B40">
        <v>901535409</v>
      </c>
      <c r="C40">
        <v>-499698533.06722355</v>
      </c>
      <c r="D40">
        <v>-2367275828.1613879</v>
      </c>
      <c r="E40">
        <v>1206198498.7180548</v>
      </c>
      <c r="F40">
        <v>-392813015</v>
      </c>
      <c r="G40">
        <v>-999711250.09365845</v>
      </c>
      <c r="H40">
        <v>3496596297.5349832</v>
      </c>
      <c r="I40">
        <v>-81948083.594642639</v>
      </c>
      <c r="J40">
        <v>2273624136.3061299</v>
      </c>
      <c r="K40">
        <v>1155138180.6507528</v>
      </c>
      <c r="L40">
        <v>2165627498.1025782</v>
      </c>
      <c r="M40">
        <v>-868275457.93250775</v>
      </c>
      <c r="N40">
        <v>62691511.448592439</v>
      </c>
      <c r="P40">
        <v>686690723</v>
      </c>
      <c r="Q40">
        <v>521543375</v>
      </c>
      <c r="R40">
        <v>-285739803</v>
      </c>
      <c r="S40">
        <v>549822013</v>
      </c>
      <c r="T40">
        <v>517565584</v>
      </c>
      <c r="U40">
        <v>232617876</v>
      </c>
      <c r="V40">
        <v>-60053164</v>
      </c>
      <c r="W40">
        <v>85235462</v>
      </c>
      <c r="X40">
        <v>-25362814</v>
      </c>
      <c r="Y40">
        <v>83073966</v>
      </c>
      <c r="Z40">
        <v>37418469</v>
      </c>
      <c r="AA40">
        <v>119722543</v>
      </c>
      <c r="AB40">
        <v>86696325</v>
      </c>
      <c r="AC40">
        <v>111977992</v>
      </c>
      <c r="AD40">
        <v>-241319110</v>
      </c>
      <c r="AE40">
        <v>-168213190</v>
      </c>
      <c r="AF40">
        <v>295508000</v>
      </c>
      <c r="AG40">
        <v>-178595930</v>
      </c>
      <c r="AH40">
        <v>113230576</v>
      </c>
      <c r="AI40">
        <v>40380904</v>
      </c>
      <c r="AJ40">
        <v>-40242219</v>
      </c>
      <c r="AK40">
        <v>102022759</v>
      </c>
      <c r="AL40">
        <v>43014808</v>
      </c>
      <c r="AM40">
        <v>-164002695</v>
      </c>
      <c r="AN40">
        <v>96976072</v>
      </c>
      <c r="AO40">
        <v>-329686161</v>
      </c>
      <c r="AP40">
        <v>346371326</v>
      </c>
    </row>
    <row r="41" spans="1:42" ht="15.6" x14ac:dyDescent="0.3">
      <c r="A41" t="s">
        <v>204</v>
      </c>
      <c r="P41">
        <v>164517996</v>
      </c>
      <c r="T41">
        <v>369447808</v>
      </c>
    </row>
    <row r="42" spans="1:42" ht="15.6" x14ac:dyDescent="0.3">
      <c r="A42" t="s">
        <v>205</v>
      </c>
    </row>
    <row r="43" spans="1:42" ht="15.6" x14ac:dyDescent="0.3">
      <c r="A43" t="s">
        <v>206</v>
      </c>
      <c r="P43">
        <v>0</v>
      </c>
      <c r="Q43">
        <v>0</v>
      </c>
      <c r="R43">
        <v>0</v>
      </c>
    </row>
    <row r="44" spans="1:42" ht="15.6" x14ac:dyDescent="0.3">
      <c r="A44" t="s">
        <v>207</v>
      </c>
      <c r="B44">
        <v>-215561691</v>
      </c>
      <c r="C44">
        <v>189830033.26624078</v>
      </c>
      <c r="D44">
        <v>-162557683.33925331</v>
      </c>
      <c r="E44">
        <v>429142070.27539057</v>
      </c>
      <c r="F44">
        <v>-323446273</v>
      </c>
      <c r="G44">
        <v>356721021.60322165</v>
      </c>
      <c r="H44">
        <v>208247324.18976641</v>
      </c>
      <c r="I44">
        <v>-3960955816.2075825</v>
      </c>
      <c r="J44">
        <v>1475010500.4788253</v>
      </c>
      <c r="K44">
        <v>138079068.29553461</v>
      </c>
      <c r="L44">
        <v>-338272202.98148704</v>
      </c>
      <c r="M44">
        <v>693672325.00227785</v>
      </c>
      <c r="N44">
        <v>854898207.54257846</v>
      </c>
      <c r="P44">
        <v>-114519116</v>
      </c>
      <c r="Q44">
        <v>35571943</v>
      </c>
      <c r="R44">
        <v>264954473</v>
      </c>
      <c r="S44">
        <v>530906570</v>
      </c>
      <c r="T44">
        <v>-6746344</v>
      </c>
      <c r="U44">
        <v>-49560311</v>
      </c>
      <c r="V44">
        <v>25297802</v>
      </c>
      <c r="W44">
        <v>59854386</v>
      </c>
      <c r="X44">
        <v>15419208</v>
      </c>
      <c r="Y44">
        <v>-2366234</v>
      </c>
      <c r="Z44">
        <v>-8460513</v>
      </c>
      <c r="AA44">
        <v>38505303</v>
      </c>
      <c r="AB44">
        <v>-86480886</v>
      </c>
      <c r="AC44">
        <v>-151540973</v>
      </c>
      <c r="AD44">
        <v>251670813</v>
      </c>
      <c r="AE44">
        <v>10064656</v>
      </c>
      <c r="AF44">
        <v>-23812724</v>
      </c>
      <c r="AG44">
        <v>21576999</v>
      </c>
      <c r="AH44">
        <v>-55330904</v>
      </c>
      <c r="AI44">
        <v>-47969083</v>
      </c>
      <c r="AJ44">
        <v>-10041772</v>
      </c>
      <c r="AK44">
        <v>137395538</v>
      </c>
      <c r="AL44">
        <v>-3963839</v>
      </c>
      <c r="AM44">
        <v>37225857</v>
      </c>
      <c r="AN44">
        <v>-256486</v>
      </c>
      <c r="AO44">
        <v>388950</v>
      </c>
      <c r="AP44">
        <v>3654380</v>
      </c>
    </row>
    <row r="45" spans="1:42" ht="15.6" x14ac:dyDescent="0.3">
      <c r="A45" t="s">
        <v>208</v>
      </c>
    </row>
    <row r="46" spans="1:42" ht="15.6" x14ac:dyDescent="0.3">
      <c r="A46" t="s">
        <v>209</v>
      </c>
    </row>
    <row r="47" spans="1:42" ht="15.6" x14ac:dyDescent="0.3">
      <c r="A47" t="s">
        <v>210</v>
      </c>
    </row>
    <row r="48" spans="1:42" ht="15.6" x14ac:dyDescent="0.3">
      <c r="A48" t="s">
        <v>211</v>
      </c>
      <c r="B48">
        <v>-74591727</v>
      </c>
      <c r="C48">
        <v>-475908083.11380243</v>
      </c>
      <c r="D48">
        <v>-222504417.10070592</v>
      </c>
      <c r="E48">
        <v>-651698789.30538583</v>
      </c>
      <c r="F48">
        <v>118388197</v>
      </c>
      <c r="G48">
        <v>-1895083572.0571883</v>
      </c>
      <c r="H48">
        <v>1582398912.0733917</v>
      </c>
      <c r="I48">
        <v>-695611814.21762371</v>
      </c>
      <c r="J48">
        <v>-2002781380.9843607</v>
      </c>
      <c r="K48">
        <v>-2356031057.7486491</v>
      </c>
      <c r="L48">
        <v>-207581942.46285623</v>
      </c>
      <c r="M48">
        <v>835443896.20800328</v>
      </c>
      <c r="N48">
        <v>-1224928726.3771498</v>
      </c>
      <c r="P48">
        <v>-432730</v>
      </c>
      <c r="Q48">
        <v>-492709187</v>
      </c>
      <c r="R48">
        <v>-88221754</v>
      </c>
      <c r="S48">
        <v>-260398951</v>
      </c>
      <c r="T48">
        <v>-13581850</v>
      </c>
      <c r="U48">
        <v>-29809092</v>
      </c>
      <c r="V48">
        <v>16341995</v>
      </c>
      <c r="W48">
        <v>-7909193</v>
      </c>
      <c r="X48">
        <v>-13970947</v>
      </c>
      <c r="Y48">
        <v>13327940</v>
      </c>
      <c r="Z48">
        <v>28104367</v>
      </c>
      <c r="AA48">
        <v>9380720</v>
      </c>
      <c r="AB48">
        <v>41584333</v>
      </c>
      <c r="AC48">
        <v>-155926</v>
      </c>
      <c r="AD48">
        <v>515831</v>
      </c>
      <c r="AE48">
        <v>45502911</v>
      </c>
      <c r="AF48">
        <v>793155</v>
      </c>
      <c r="AG48">
        <v>-311644</v>
      </c>
      <c r="AH48">
        <v>-17538</v>
      </c>
      <c r="AI48">
        <v>-28029622</v>
      </c>
      <c r="AJ48">
        <v>50718039</v>
      </c>
      <c r="AK48">
        <v>92615320</v>
      </c>
      <c r="AL48">
        <v>-5113992</v>
      </c>
      <c r="AM48">
        <v>50767255</v>
      </c>
      <c r="AN48">
        <v>2320149</v>
      </c>
      <c r="AO48">
        <v>4311723</v>
      </c>
      <c r="AP48">
        <v>13018483</v>
      </c>
    </row>
    <row r="49" spans="1:42" ht="15.6" x14ac:dyDescent="0.3">
      <c r="A49" t="s">
        <v>212</v>
      </c>
      <c r="B49">
        <v>4170372063</v>
      </c>
      <c r="C49">
        <v>5345227213.3918571</v>
      </c>
      <c r="D49">
        <v>1419821068.4032936</v>
      </c>
      <c r="E49">
        <v>3676535998.020462</v>
      </c>
      <c r="F49">
        <v>5312900081</v>
      </c>
      <c r="G49">
        <v>-2599183581.0221519</v>
      </c>
      <c r="H49">
        <v>10222136341.882813</v>
      </c>
      <c r="I49">
        <v>6923975313.0003042</v>
      </c>
      <c r="J49">
        <v>4603988615.0658922</v>
      </c>
      <c r="K49">
        <v>1780955245.1499596</v>
      </c>
      <c r="L49">
        <v>1399326834.5870838</v>
      </c>
      <c r="M49">
        <v>3810959208.1146727</v>
      </c>
      <c r="N49">
        <v>5274295033.5152922</v>
      </c>
      <c r="P49">
        <v>772322390</v>
      </c>
      <c r="Q49">
        <v>527226753</v>
      </c>
      <c r="R49">
        <v>152239647</v>
      </c>
      <c r="S49">
        <v>472365071</v>
      </c>
      <c r="T49">
        <v>587712404</v>
      </c>
      <c r="U49">
        <v>-351298595</v>
      </c>
      <c r="V49">
        <v>346262052</v>
      </c>
      <c r="W49">
        <v>67428214</v>
      </c>
      <c r="X49">
        <v>334712402</v>
      </c>
      <c r="Y49">
        <v>585676725</v>
      </c>
      <c r="Z49">
        <v>274712589</v>
      </c>
      <c r="AA49">
        <v>-142120482</v>
      </c>
      <c r="AB49">
        <v>404719038</v>
      </c>
      <c r="AC49">
        <v>267805578</v>
      </c>
      <c r="AD49">
        <v>299511223</v>
      </c>
      <c r="AE49">
        <v>330538805</v>
      </c>
      <c r="AF49">
        <v>-129803430</v>
      </c>
      <c r="AG49">
        <v>-23924344</v>
      </c>
      <c r="AH49">
        <v>-25677871</v>
      </c>
      <c r="AI49">
        <v>-89154270</v>
      </c>
      <c r="AJ49">
        <v>150661837</v>
      </c>
      <c r="AK49">
        <v>311619933</v>
      </c>
      <c r="AL49">
        <v>201757133</v>
      </c>
      <c r="AM49">
        <v>-189107704</v>
      </c>
      <c r="AN49">
        <v>-5963912</v>
      </c>
      <c r="AO49">
        <v>-146073618</v>
      </c>
      <c r="AP49">
        <v>460354157</v>
      </c>
    </row>
    <row r="50" spans="1:42" ht="15.6" x14ac:dyDescent="0.3">
      <c r="A50" t="s">
        <v>213</v>
      </c>
    </row>
    <row r="51" spans="1:42" ht="15.6" x14ac:dyDescent="0.3">
      <c r="A51" t="s">
        <v>214</v>
      </c>
    </row>
    <row r="52" spans="1:42" ht="15.6" x14ac:dyDescent="0.3">
      <c r="A52" t="s">
        <v>215</v>
      </c>
      <c r="AD52">
        <v>-154107628</v>
      </c>
      <c r="AE52">
        <v>-137875511</v>
      </c>
      <c r="AF52">
        <v>-151921300</v>
      </c>
      <c r="AG52">
        <v>-80232546</v>
      </c>
      <c r="AH52">
        <v>-104638905</v>
      </c>
      <c r="AI52">
        <v>-78939887</v>
      </c>
      <c r="AJ52">
        <v>-104475983</v>
      </c>
      <c r="AK52">
        <v>-122508933</v>
      </c>
      <c r="AL52">
        <v>-71982253</v>
      </c>
      <c r="AM52">
        <v>-89391848</v>
      </c>
      <c r="AN52">
        <v>-136075783</v>
      </c>
      <c r="AO52">
        <v>-20803756</v>
      </c>
      <c r="AP52">
        <v>-52463921</v>
      </c>
    </row>
    <row r="53" spans="1:42" ht="15.6" x14ac:dyDescent="0.3">
      <c r="A53" t="s">
        <v>216</v>
      </c>
      <c r="AB53">
        <v>23570298</v>
      </c>
      <c r="AC53">
        <v>48584015</v>
      </c>
      <c r="AD53">
        <v>31175757</v>
      </c>
      <c r="AE53">
        <v>49838853</v>
      </c>
      <c r="AF53">
        <v>27865735</v>
      </c>
      <c r="AG53">
        <v>2375057</v>
      </c>
      <c r="AH53">
        <v>4598188</v>
      </c>
      <c r="AI53">
        <v>6716409</v>
      </c>
      <c r="AJ53">
        <v>28560079</v>
      </c>
      <c r="AK53">
        <v>1737387</v>
      </c>
      <c r="AL53">
        <v>673505</v>
      </c>
      <c r="AM53">
        <v>6407348</v>
      </c>
      <c r="AN53">
        <v>1061434</v>
      </c>
      <c r="AO53">
        <v>-656582</v>
      </c>
      <c r="AP53">
        <v>2423157</v>
      </c>
    </row>
    <row r="54" spans="1:42" ht="15.6" x14ac:dyDescent="0.3">
      <c r="A54" t="s">
        <v>217</v>
      </c>
      <c r="B54">
        <v>-617501793</v>
      </c>
      <c r="C54">
        <v>-648125950.64979124</v>
      </c>
      <c r="D54">
        <v>-742163745.28799939</v>
      </c>
      <c r="E54">
        <v>-1271963403.0616601</v>
      </c>
      <c r="F54">
        <v>-93833496</v>
      </c>
      <c r="G54">
        <v>-115964746.01321828</v>
      </c>
      <c r="H54">
        <v>77369635.051249266</v>
      </c>
      <c r="I54">
        <v>-742692174.85947073</v>
      </c>
      <c r="J54">
        <v>-202805441.21552512</v>
      </c>
      <c r="K54">
        <v>-349592597.53106332</v>
      </c>
      <c r="L54">
        <v>-471043031.67962486</v>
      </c>
      <c r="M54">
        <v>-304300147.63850045</v>
      </c>
      <c r="N54">
        <v>-161394158.47393051</v>
      </c>
      <c r="P54">
        <v>-325551245</v>
      </c>
      <c r="Q54">
        <v>269116007</v>
      </c>
      <c r="R54">
        <v>-450989690</v>
      </c>
      <c r="S54">
        <v>-79256448</v>
      </c>
      <c r="T54">
        <v>-18007257</v>
      </c>
      <c r="U54">
        <v>-23850680</v>
      </c>
      <c r="V54">
        <v>0</v>
      </c>
      <c r="W54">
        <v>-11499865</v>
      </c>
      <c r="X54">
        <v>3093670</v>
      </c>
      <c r="Y54">
        <v>0</v>
      </c>
      <c r="Z54">
        <v>-26782709</v>
      </c>
      <c r="AA54">
        <v>58754609</v>
      </c>
      <c r="AB54">
        <v>4653693</v>
      </c>
      <c r="AC54">
        <v>0</v>
      </c>
      <c r="AD54">
        <v>-82298675</v>
      </c>
      <c r="AE54">
        <v>584854</v>
      </c>
      <c r="AF54">
        <v>14105420</v>
      </c>
      <c r="AG54">
        <v>-21780167</v>
      </c>
      <c r="AH54">
        <v>1661470</v>
      </c>
      <c r="AI54">
        <v>-1171931</v>
      </c>
      <c r="AJ54">
        <v>-3591044</v>
      </c>
      <c r="AK54">
        <v>0</v>
      </c>
      <c r="AL54">
        <v>-329515</v>
      </c>
      <c r="AM54">
        <v>-1743827</v>
      </c>
      <c r="AN54">
        <v>-3790949</v>
      </c>
      <c r="AO54">
        <v>-2624664</v>
      </c>
      <c r="AP54">
        <v>-2071855</v>
      </c>
    </row>
    <row r="55" spans="1:42" ht="15.6" x14ac:dyDescent="0.3">
      <c r="A55" t="s">
        <v>218</v>
      </c>
    </row>
    <row r="56" spans="1:42" ht="15.6" x14ac:dyDescent="0.3">
      <c r="A56" t="s">
        <v>219</v>
      </c>
    </row>
    <row r="57" spans="1:42" ht="15.6" x14ac:dyDescent="0.3">
      <c r="A57" t="s">
        <v>220</v>
      </c>
    </row>
    <row r="58" spans="1:42" ht="15.6" x14ac:dyDescent="0.3">
      <c r="A58" t="s">
        <v>221</v>
      </c>
    </row>
    <row r="59" spans="1:42" ht="15.6" x14ac:dyDescent="0.3">
      <c r="A59" t="s">
        <v>222</v>
      </c>
    </row>
    <row r="60" spans="1:42" ht="15.6" x14ac:dyDescent="0.3">
      <c r="A60" t="s">
        <v>223</v>
      </c>
    </row>
    <row r="61" spans="1:42" ht="15.6" x14ac:dyDescent="0.3">
      <c r="A61" t="s">
        <v>224</v>
      </c>
    </row>
    <row r="62" spans="1:42" ht="15.6" x14ac:dyDescent="0.3">
      <c r="A62" t="s">
        <v>225</v>
      </c>
      <c r="B62">
        <v>-5647318</v>
      </c>
      <c r="C62">
        <v>-9914837.0213631094</v>
      </c>
      <c r="D62">
        <v>2811546.6232224889</v>
      </c>
      <c r="E62">
        <v>-1978352.3605072522</v>
      </c>
      <c r="F62">
        <v>-1616317</v>
      </c>
      <c r="G62">
        <v>-2469626.3762294687</v>
      </c>
      <c r="H62">
        <v>-2309814.7208757102</v>
      </c>
      <c r="I62">
        <v>-5946581.4172609868</v>
      </c>
      <c r="J62">
        <v>-2017139.8351231432</v>
      </c>
      <c r="K62">
        <v>-4432158.6880765148</v>
      </c>
      <c r="L62">
        <v>2600167.8515694737</v>
      </c>
      <c r="M62">
        <v>-21174973.380632911</v>
      </c>
      <c r="N62">
        <v>-4447310.3703253604</v>
      </c>
      <c r="P62">
        <v>-455051</v>
      </c>
      <c r="Q62">
        <v>-155670</v>
      </c>
      <c r="R62">
        <v>-91671</v>
      </c>
      <c r="S62">
        <v>-325182</v>
      </c>
      <c r="T62">
        <v>-35438</v>
      </c>
      <c r="W62">
        <v>-16038</v>
      </c>
      <c r="X62">
        <v>-342573</v>
      </c>
      <c r="Y62">
        <v>-112627</v>
      </c>
      <c r="Z62">
        <v>-222676</v>
      </c>
      <c r="AA62">
        <v>-198465</v>
      </c>
      <c r="AB62">
        <v>-285814</v>
      </c>
      <c r="AC62">
        <v>-8976</v>
      </c>
      <c r="AD62">
        <v>-378426</v>
      </c>
      <c r="AE62">
        <v>-113668</v>
      </c>
      <c r="AF62">
        <v>-380655</v>
      </c>
      <c r="AG62">
        <v>0</v>
      </c>
      <c r="AH62">
        <v>-58645</v>
      </c>
      <c r="AI62">
        <v>-197501</v>
      </c>
      <c r="AJ62">
        <v>-110127</v>
      </c>
      <c r="AK62">
        <v>-613787</v>
      </c>
      <c r="AL62">
        <v>-277896</v>
      </c>
      <c r="AM62">
        <v>745643</v>
      </c>
      <c r="AN62">
        <v>-931958</v>
      </c>
      <c r="AO62">
        <v>-111247</v>
      </c>
      <c r="AP62">
        <v>-1018400</v>
      </c>
    </row>
    <row r="63" spans="1:42" ht="15.6" x14ac:dyDescent="0.3">
      <c r="A63" t="s">
        <v>226</v>
      </c>
      <c r="C63">
        <v>-116940.74995944642</v>
      </c>
      <c r="D63">
        <v>0</v>
      </c>
      <c r="G63">
        <v>-69228.639332514751</v>
      </c>
      <c r="H63">
        <v>3955.1789719450171</v>
      </c>
      <c r="I63">
        <v>-92522.658744576445</v>
      </c>
      <c r="J63">
        <v>0</v>
      </c>
      <c r="K63">
        <v>-1282312.126643199</v>
      </c>
      <c r="L63">
        <v>0</v>
      </c>
      <c r="R63">
        <v>0</v>
      </c>
      <c r="V63">
        <v>-32672</v>
      </c>
    </row>
    <row r="64" spans="1:42" ht="15.6" x14ac:dyDescent="0.3">
      <c r="A64" t="s">
        <v>227</v>
      </c>
    </row>
    <row r="65" spans="1:42" ht="15.6" x14ac:dyDescent="0.3">
      <c r="A65" t="s">
        <v>228</v>
      </c>
    </row>
    <row r="66" spans="1:42" ht="15.6" x14ac:dyDescent="0.3"/>
    <row r="67" spans="1:42" ht="15.6" x14ac:dyDescent="0.3">
      <c r="A67" t="s">
        <v>229</v>
      </c>
      <c r="B67">
        <v>-5813952679</v>
      </c>
      <c r="C67">
        <v>-7019100880.067728</v>
      </c>
      <c r="D67">
        <v>-3945658730.7317181</v>
      </c>
      <c r="E67">
        <v>-6415939528.8131828</v>
      </c>
      <c r="F67">
        <v>-5841136507</v>
      </c>
      <c r="G67">
        <v>-1583968863.0867424</v>
      </c>
      <c r="H67">
        <v>-10284733999.589617</v>
      </c>
      <c r="I67">
        <v>-4386309263.3322105</v>
      </c>
      <c r="J67">
        <v>-10545010216.760798</v>
      </c>
      <c r="K67">
        <v>-6847071708.1001024</v>
      </c>
      <c r="L67">
        <v>638177287.90569901</v>
      </c>
      <c r="M67">
        <v>-1913077282.7941673</v>
      </c>
      <c r="N67">
        <v>-653354411.68788552</v>
      </c>
      <c r="P67">
        <v>-389692289</v>
      </c>
      <c r="Q67">
        <v>-377168171</v>
      </c>
      <c r="R67">
        <v>-907690930</v>
      </c>
      <c r="S67">
        <v>-1502758626</v>
      </c>
      <c r="T67">
        <v>-503105247</v>
      </c>
      <c r="U67">
        <v>-456335554</v>
      </c>
      <c r="V67">
        <v>-284895688</v>
      </c>
      <c r="W67">
        <v>-79222592</v>
      </c>
      <c r="X67">
        <v>-30795572</v>
      </c>
      <c r="Y67">
        <v>-45976223</v>
      </c>
      <c r="Z67">
        <v>-79843955</v>
      </c>
      <c r="AA67">
        <v>-107712729</v>
      </c>
      <c r="AB67">
        <v>-6680509</v>
      </c>
      <c r="AC67">
        <v>-33897640</v>
      </c>
      <c r="AD67">
        <v>-3467817</v>
      </c>
      <c r="AE67">
        <v>-96926299</v>
      </c>
      <c r="AF67">
        <v>-56992858</v>
      </c>
      <c r="AG67">
        <v>20187904</v>
      </c>
      <c r="AH67">
        <v>-7781921</v>
      </c>
      <c r="AI67">
        <v>295504379</v>
      </c>
      <c r="AJ67">
        <v>45165260</v>
      </c>
      <c r="AK67">
        <v>7995542</v>
      </c>
      <c r="AL67">
        <v>-106282097</v>
      </c>
      <c r="AM67">
        <v>114377556</v>
      </c>
      <c r="AN67">
        <v>-46133039</v>
      </c>
      <c r="AO67">
        <v>-36735710</v>
      </c>
      <c r="AP67">
        <v>-74730581</v>
      </c>
    </row>
    <row r="68" spans="1:42" ht="15.6" x14ac:dyDescent="0.3">
      <c r="A68" t="s">
        <v>230</v>
      </c>
      <c r="C68">
        <v>0</v>
      </c>
      <c r="D68">
        <v>0</v>
      </c>
      <c r="G68">
        <v>-83277600.571843863</v>
      </c>
      <c r="H68">
        <v>1411748038.3310325</v>
      </c>
      <c r="I68">
        <v>0</v>
      </c>
      <c r="J68">
        <v>0</v>
      </c>
      <c r="K68">
        <v>0</v>
      </c>
      <c r="AI68">
        <v>352741542</v>
      </c>
      <c r="AJ68">
        <v>108389645</v>
      </c>
      <c r="AK68">
        <v>0</v>
      </c>
      <c r="AL68">
        <v>33545783</v>
      </c>
      <c r="AM68">
        <v>0</v>
      </c>
      <c r="AN68">
        <v>0</v>
      </c>
    </row>
    <row r="69" spans="1:42" ht="15.6" x14ac:dyDescent="0.3">
      <c r="A69" t="s">
        <v>231</v>
      </c>
    </row>
    <row r="70" spans="1:42" ht="15.6" x14ac:dyDescent="0.3">
      <c r="A70" t="s">
        <v>232</v>
      </c>
      <c r="R70">
        <v>0</v>
      </c>
      <c r="V70">
        <v>0</v>
      </c>
    </row>
    <row r="71" spans="1:42" ht="15.6" x14ac:dyDescent="0.3">
      <c r="A71" t="s">
        <v>233</v>
      </c>
    </row>
    <row r="72" spans="1:42" ht="15.6" x14ac:dyDescent="0.3">
      <c r="A72" t="s">
        <v>234</v>
      </c>
    </row>
    <row r="73" spans="1:42" ht="15.6" x14ac:dyDescent="0.3">
      <c r="A73" t="s">
        <v>235</v>
      </c>
    </row>
    <row r="74" spans="1:42" ht="15.6" x14ac:dyDescent="0.3">
      <c r="A74" t="s">
        <v>236</v>
      </c>
    </row>
    <row r="75" spans="1:42" ht="15.6" x14ac:dyDescent="0.3">
      <c r="A75" t="s">
        <v>223</v>
      </c>
    </row>
    <row r="76" spans="1:42" ht="15.6" x14ac:dyDescent="0.3">
      <c r="A76" t="s">
        <v>222</v>
      </c>
    </row>
    <row r="77" spans="1:42" ht="15.6" x14ac:dyDescent="0.3">
      <c r="A77" t="s">
        <v>237</v>
      </c>
      <c r="B77">
        <v>8196498</v>
      </c>
      <c r="C77">
        <v>273305447.878815</v>
      </c>
      <c r="D77">
        <v>2623377.7629454345</v>
      </c>
      <c r="E77">
        <v>2315041.6511587813</v>
      </c>
      <c r="F77">
        <v>521473</v>
      </c>
      <c r="G77">
        <v>-22722661.977131955</v>
      </c>
      <c r="H77">
        <v>-4005524.4736671448</v>
      </c>
      <c r="I77">
        <v>34363504.267491996</v>
      </c>
      <c r="J77">
        <v>146944.99284188863</v>
      </c>
      <c r="K77">
        <v>66106187.829447761</v>
      </c>
      <c r="L77">
        <v>-48266745.85441114</v>
      </c>
      <c r="M77">
        <v>-128063.71048104763</v>
      </c>
      <c r="N77">
        <v>141681406.007572</v>
      </c>
      <c r="P77">
        <v>0</v>
      </c>
      <c r="Q77">
        <v>0</v>
      </c>
      <c r="R77">
        <v>0</v>
      </c>
      <c r="U77">
        <v>0</v>
      </c>
      <c r="V77">
        <v>0</v>
      </c>
      <c r="W77">
        <v>19010626</v>
      </c>
      <c r="X77">
        <v>6936</v>
      </c>
      <c r="Y77">
        <v>11211</v>
      </c>
      <c r="Z77">
        <v>199224</v>
      </c>
      <c r="AA77">
        <v>377023</v>
      </c>
      <c r="AB77">
        <v>0</v>
      </c>
      <c r="AC77">
        <v>0</v>
      </c>
      <c r="AD77">
        <v>0</v>
      </c>
      <c r="AE77">
        <v>5335490</v>
      </c>
      <c r="AF77">
        <v>-6876230</v>
      </c>
      <c r="AG77">
        <v>43387206</v>
      </c>
      <c r="AH77">
        <v>2967022</v>
      </c>
      <c r="AI77">
        <v>13199404</v>
      </c>
      <c r="AJ77">
        <v>-10059023</v>
      </c>
      <c r="AK77">
        <v>236756</v>
      </c>
      <c r="AL77">
        <v>2296952</v>
      </c>
      <c r="AM77">
        <v>198823779</v>
      </c>
      <c r="AN77">
        <v>-193740</v>
      </c>
      <c r="AO77">
        <v>-35036594</v>
      </c>
      <c r="AP77">
        <v>35036594</v>
      </c>
    </row>
    <row r="78" spans="1:42" ht="15.6" x14ac:dyDescent="0.3">
      <c r="A78" t="s">
        <v>238</v>
      </c>
      <c r="B78">
        <v>-4864832358</v>
      </c>
      <c r="C78">
        <v>-7313336239.2211018</v>
      </c>
      <c r="D78">
        <v>-3415360479.2232094</v>
      </c>
      <c r="E78">
        <v>-5052086550.9066906</v>
      </c>
      <c r="F78">
        <v>-4376789571</v>
      </c>
      <c r="G78">
        <v>-8654774662.6723328</v>
      </c>
      <c r="H78">
        <v>-9201079178.1030502</v>
      </c>
      <c r="I78">
        <v>-4446902309.3199425</v>
      </c>
      <c r="J78">
        <v>-4403319351.1041031</v>
      </c>
      <c r="K78">
        <v>-1925724073.8962646</v>
      </c>
      <c r="L78">
        <v>-673281883.78218055</v>
      </c>
      <c r="M78">
        <v>-553223301.54139519</v>
      </c>
      <c r="N78">
        <v>-795035817.69545722</v>
      </c>
      <c r="P78">
        <v>-389692289</v>
      </c>
      <c r="Q78">
        <v>-377168171</v>
      </c>
      <c r="R78">
        <v>-907690930</v>
      </c>
      <c r="S78">
        <v>-1504886505</v>
      </c>
      <c r="T78">
        <v>-503105247</v>
      </c>
      <c r="U78">
        <v>-456335554</v>
      </c>
      <c r="V78">
        <v>-284895688</v>
      </c>
      <c r="W78">
        <v>-98233218</v>
      </c>
      <c r="X78">
        <v>-30802508</v>
      </c>
      <c r="Y78">
        <v>-45987434</v>
      </c>
      <c r="Z78">
        <v>-80043179</v>
      </c>
      <c r="AA78">
        <v>-79027752</v>
      </c>
      <c r="AB78">
        <v>-6680509</v>
      </c>
      <c r="AC78">
        <v>-33897640</v>
      </c>
      <c r="AD78">
        <v>-3467817</v>
      </c>
      <c r="AE78">
        <v>-101528221</v>
      </c>
      <c r="AF78">
        <v>-50850196</v>
      </c>
      <c r="AG78">
        <v>-23199302</v>
      </c>
      <c r="AH78">
        <v>-10748943</v>
      </c>
      <c r="AI78">
        <v>-70436567</v>
      </c>
      <c r="AJ78">
        <v>-53165362</v>
      </c>
      <c r="AK78">
        <v>-80674222</v>
      </c>
      <c r="AL78">
        <v>-125757840</v>
      </c>
      <c r="AM78">
        <v>-84446223</v>
      </c>
      <c r="AN78">
        <v>-45939299</v>
      </c>
      <c r="AO78">
        <v>-25317107</v>
      </c>
      <c r="AP78">
        <v>-109767175</v>
      </c>
    </row>
    <row r="79" spans="1:42" ht="15.6" x14ac:dyDescent="0.3">
      <c r="A79" t="s">
        <v>239</v>
      </c>
    </row>
    <row r="80" spans="1:42" ht="15.6" x14ac:dyDescent="0.3">
      <c r="A80" t="s">
        <v>240</v>
      </c>
    </row>
    <row r="81" spans="1:39" ht="15.6" x14ac:dyDescent="0.3">
      <c r="A81" t="s">
        <v>241</v>
      </c>
      <c r="AH81">
        <v>46013293</v>
      </c>
      <c r="AI81">
        <v>0</v>
      </c>
      <c r="AJ81">
        <v>0</v>
      </c>
      <c r="AK81">
        <v>88433008</v>
      </c>
      <c r="AL81">
        <v>-16366992</v>
      </c>
      <c r="AM81">
        <v>0</v>
      </c>
    </row>
    <row r="82" spans="1:39" ht="15.6" x14ac:dyDescent="0.3">
      <c r="A82" t="s">
        <v>242</v>
      </c>
      <c r="AH82">
        <v>-46013293</v>
      </c>
    </row>
    <row r="83" spans="1:39" ht="15.6" x14ac:dyDescent="0.3">
      <c r="A83" t="s">
        <v>243</v>
      </c>
    </row>
    <row r="84" spans="1:39" ht="15.6" x14ac:dyDescent="0.3">
      <c r="A84" t="s">
        <v>244</v>
      </c>
    </row>
    <row r="85" spans="1:39" ht="15.6" x14ac:dyDescent="0.3">
      <c r="A85" t="s">
        <v>245</v>
      </c>
    </row>
    <row r="86" spans="1:39" ht="15.6" x14ac:dyDescent="0.3">
      <c r="A86" t="s">
        <v>246</v>
      </c>
    </row>
    <row r="87" spans="1:39" ht="15.6" x14ac:dyDescent="0.3">
      <c r="A87" t="s">
        <v>247</v>
      </c>
      <c r="B87">
        <v>-957316819</v>
      </c>
      <c r="C87">
        <v>20929911.274559498</v>
      </c>
      <c r="D87">
        <v>-532921629.27145338</v>
      </c>
      <c r="E87">
        <v>-1366168019.5576515</v>
      </c>
      <c r="F87">
        <v>-1464868409</v>
      </c>
      <c r="G87">
        <v>5914647744.3776817</v>
      </c>
      <c r="H87">
        <v>-1032751534.7370653</v>
      </c>
      <c r="I87">
        <v>-2749321617.2337017</v>
      </c>
      <c r="J87">
        <v>-4824932452.3024607</v>
      </c>
      <c r="K87">
        <v>-3802336671.5112624</v>
      </c>
      <c r="L87">
        <v>1359725917.5422909</v>
      </c>
      <c r="M87">
        <v>-1359725917.5422909</v>
      </c>
      <c r="N87">
        <v>0</v>
      </c>
      <c r="P87">
        <v>0</v>
      </c>
      <c r="Q87">
        <v>0</v>
      </c>
      <c r="R87">
        <v>0</v>
      </c>
    </row>
    <row r="88" spans="1:39" ht="15.6" x14ac:dyDescent="0.3">
      <c r="A88" t="s">
        <v>248</v>
      </c>
      <c r="P88">
        <v>0</v>
      </c>
      <c r="Q88">
        <v>0</v>
      </c>
      <c r="R88">
        <v>0</v>
      </c>
    </row>
    <row r="89" spans="1:39" ht="15.6" x14ac:dyDescent="0.3">
      <c r="A89" t="s">
        <v>249</v>
      </c>
    </row>
    <row r="90" spans="1:39" ht="15.6" x14ac:dyDescent="0.3">
      <c r="A90" t="s">
        <v>250</v>
      </c>
    </row>
    <row r="91" spans="1:39" ht="15.6" x14ac:dyDescent="0.3">
      <c r="A91" t="s">
        <v>251</v>
      </c>
    </row>
    <row r="92" spans="1:39" ht="15.6" x14ac:dyDescent="0.3">
      <c r="A92" t="s">
        <v>214</v>
      </c>
    </row>
    <row r="93" spans="1:39" ht="15.6" x14ac:dyDescent="0.3">
      <c r="A93" t="s">
        <v>215</v>
      </c>
    </row>
    <row r="94" spans="1:39" ht="15.6" x14ac:dyDescent="0.3">
      <c r="A94" t="s">
        <v>216</v>
      </c>
    </row>
    <row r="95" spans="1:39" ht="15.6" x14ac:dyDescent="0.3">
      <c r="A95" t="s">
        <v>218</v>
      </c>
    </row>
    <row r="96" spans="1:39" ht="15.6" x14ac:dyDescent="0.3">
      <c r="A96" t="s">
        <v>219</v>
      </c>
    </row>
    <row r="97" spans="1:42" ht="15.6" x14ac:dyDescent="0.3">
      <c r="A97" t="s">
        <v>217</v>
      </c>
    </row>
    <row r="98" spans="1:42" ht="15.6" x14ac:dyDescent="0.3">
      <c r="A98" t="s">
        <v>227</v>
      </c>
      <c r="I98">
        <v>2775551158.953939</v>
      </c>
      <c r="J98">
        <v>-1316905358.3470752</v>
      </c>
    </row>
    <row r="99" spans="1:42" ht="15.6" x14ac:dyDescent="0.3">
      <c r="A99" t="s">
        <v>228</v>
      </c>
    </row>
    <row r="100" spans="1:42" ht="15.6" x14ac:dyDescent="0.3"/>
    <row r="101" spans="1:42" ht="15.6" x14ac:dyDescent="0.3">
      <c r="A101" t="s">
        <v>252</v>
      </c>
      <c r="B101">
        <v>143300543</v>
      </c>
      <c r="C101">
        <v>376360773.12590599</v>
      </c>
      <c r="D101">
        <v>4341043298.4912663</v>
      </c>
      <c r="E101">
        <v>8423183243.7816238</v>
      </c>
      <c r="F101">
        <v>3116076757</v>
      </c>
      <c r="G101">
        <v>4676146291.0918674</v>
      </c>
      <c r="H101">
        <v>-771581789.03194427</v>
      </c>
      <c r="I101">
        <v>-1796930173.5965643</v>
      </c>
      <c r="J101">
        <v>6911677770.3326921</v>
      </c>
      <c r="K101">
        <v>3999014673.2140384</v>
      </c>
      <c r="L101">
        <v>-442651757.52275467</v>
      </c>
      <c r="M101">
        <v>-3218067505.0236778</v>
      </c>
      <c r="N101">
        <v>-2816183152.5802097</v>
      </c>
      <c r="P101">
        <v>552276269</v>
      </c>
      <c r="Q101">
        <v>-464001515</v>
      </c>
      <c r="R101">
        <v>964122999</v>
      </c>
      <c r="S101">
        <v>1254190642</v>
      </c>
      <c r="T101">
        <v>-135693296</v>
      </c>
      <c r="U101">
        <v>1256846405</v>
      </c>
      <c r="V101">
        <v>-335028395</v>
      </c>
      <c r="W101">
        <v>30123895</v>
      </c>
      <c r="X101">
        <v>-462759084</v>
      </c>
      <c r="Y101">
        <v>-381237202</v>
      </c>
      <c r="Z101">
        <v>18204286</v>
      </c>
      <c r="AA101">
        <v>-235973010</v>
      </c>
      <c r="AB101">
        <v>134637468</v>
      </c>
      <c r="AC101">
        <v>-461425383</v>
      </c>
      <c r="AD101">
        <v>-26997592</v>
      </c>
      <c r="AE101">
        <v>-117527175</v>
      </c>
      <c r="AF101">
        <v>302661442</v>
      </c>
      <c r="AG101">
        <v>131461274</v>
      </c>
      <c r="AH101">
        <v>63204864</v>
      </c>
      <c r="AI101">
        <v>-88965127</v>
      </c>
      <c r="AJ101">
        <v>-305849674</v>
      </c>
      <c r="AK101">
        <v>-16381995</v>
      </c>
      <c r="AL101">
        <v>-41621401</v>
      </c>
      <c r="AM101">
        <v>130790734</v>
      </c>
      <c r="AN101">
        <v>177148917</v>
      </c>
      <c r="AO101">
        <v>38468954</v>
      </c>
      <c r="AP101">
        <v>-110744614</v>
      </c>
    </row>
    <row r="102" spans="1:42" ht="15.6" x14ac:dyDescent="0.3">
      <c r="A102" t="s">
        <v>253</v>
      </c>
    </row>
    <row r="103" spans="1:42" ht="15.6" x14ac:dyDescent="0.3">
      <c r="A103" t="s">
        <v>254</v>
      </c>
    </row>
    <row r="104" spans="1:42" ht="15.6" x14ac:dyDescent="0.3">
      <c r="A104" t="s">
        <v>255</v>
      </c>
      <c r="P104">
        <v>0</v>
      </c>
      <c r="Q104">
        <v>0</v>
      </c>
      <c r="R104">
        <v>0</v>
      </c>
    </row>
    <row r="105" spans="1:42" ht="15.6" x14ac:dyDescent="0.3">
      <c r="A105" t="s">
        <v>256</v>
      </c>
    </row>
    <row r="106" spans="1:42" ht="15.6" x14ac:dyDescent="0.3">
      <c r="A106" t="s">
        <v>257</v>
      </c>
      <c r="N106">
        <v>0</v>
      </c>
      <c r="P106">
        <v>0</v>
      </c>
      <c r="Q106">
        <v>0</v>
      </c>
      <c r="R106">
        <v>0</v>
      </c>
    </row>
    <row r="107" spans="1:42" ht="15.6" x14ac:dyDescent="0.3">
      <c r="A107" t="s">
        <v>258</v>
      </c>
      <c r="I107">
        <v>0</v>
      </c>
      <c r="J107">
        <v>0</v>
      </c>
      <c r="P107">
        <v>0</v>
      </c>
      <c r="Q107">
        <v>0</v>
      </c>
      <c r="R107">
        <v>0</v>
      </c>
    </row>
    <row r="108" spans="1:42" ht="15.6" x14ac:dyDescent="0.3">
      <c r="A108" t="s">
        <v>259</v>
      </c>
    </row>
    <row r="109" spans="1:42" ht="15.6" x14ac:dyDescent="0.3">
      <c r="A109" t="s">
        <v>260</v>
      </c>
      <c r="B109">
        <v>2813594170</v>
      </c>
      <c r="C109">
        <v>5837164419.1538773</v>
      </c>
      <c r="D109">
        <v>8778773835.8146667</v>
      </c>
      <c r="E109">
        <v>13765920665.769478</v>
      </c>
      <c r="F109">
        <v>7686231464</v>
      </c>
      <c r="G109">
        <v>9820987939.020771</v>
      </c>
      <c r="H109">
        <v>5129940231.1510963</v>
      </c>
      <c r="I109">
        <v>6578408052.1275253</v>
      </c>
      <c r="J109">
        <v>11692916054.091759</v>
      </c>
      <c r="K109">
        <v>7187337910.2790737</v>
      </c>
      <c r="L109">
        <v>4148733790.2826872</v>
      </c>
      <c r="M109">
        <v>3613518767.9969306</v>
      </c>
      <c r="N109">
        <v>1764227799.8242564</v>
      </c>
      <c r="P109">
        <v>2815253827</v>
      </c>
      <c r="Q109">
        <v>1045023463</v>
      </c>
      <c r="R109">
        <v>1016000000</v>
      </c>
      <c r="S109">
        <v>2261493633</v>
      </c>
      <c r="T109">
        <v>661814048</v>
      </c>
      <c r="U109">
        <v>1851513677</v>
      </c>
      <c r="V109">
        <v>376615104</v>
      </c>
      <c r="W109">
        <v>-777951879</v>
      </c>
      <c r="X109">
        <v>1797051435</v>
      </c>
      <c r="Y109">
        <v>474595338</v>
      </c>
      <c r="Z109">
        <v>1382132952</v>
      </c>
      <c r="AA109">
        <v>810083404</v>
      </c>
      <c r="AB109">
        <v>1339071598</v>
      </c>
      <c r="AC109">
        <v>516467950</v>
      </c>
      <c r="AD109">
        <v>404938794</v>
      </c>
      <c r="AE109">
        <v>297983685</v>
      </c>
      <c r="AF109">
        <v>1074102848</v>
      </c>
      <c r="AG109">
        <v>719360097</v>
      </c>
      <c r="AH109">
        <v>807376104</v>
      </c>
      <c r="AK109">
        <v>-31394610</v>
      </c>
      <c r="AL109">
        <v>-27594387</v>
      </c>
      <c r="AM109">
        <v>797121713</v>
      </c>
    </row>
    <row r="110" spans="1:42" ht="15.6" x14ac:dyDescent="0.3">
      <c r="A110" t="s">
        <v>261</v>
      </c>
      <c r="B110">
        <v>-2280864180</v>
      </c>
      <c r="C110">
        <v>-4990770819.0706177</v>
      </c>
      <c r="D110">
        <v>-4131210288.6813679</v>
      </c>
      <c r="E110">
        <v>-4948628184.3835773</v>
      </c>
      <c r="F110">
        <v>-4274748667</v>
      </c>
      <c r="G110">
        <v>-5187647386.1491108</v>
      </c>
      <c r="H110">
        <v>-4786391758.5671711</v>
      </c>
      <c r="I110">
        <v>-4755268918.7796793</v>
      </c>
      <c r="J110">
        <v>-4404889732.880702</v>
      </c>
      <c r="K110">
        <v>-2864163177.4340343</v>
      </c>
      <c r="L110">
        <v>-4401030117.3388252</v>
      </c>
      <c r="M110">
        <v>-3975083752.1831274</v>
      </c>
      <c r="N110">
        <v>-3705201169.7443762</v>
      </c>
      <c r="P110">
        <v>-1488555269</v>
      </c>
      <c r="Q110">
        <v>-993410019</v>
      </c>
      <c r="R110">
        <v>-429281440</v>
      </c>
      <c r="S110">
        <v>-944116234</v>
      </c>
      <c r="T110">
        <v>-669615165</v>
      </c>
      <c r="U110">
        <v>-580328240</v>
      </c>
      <c r="V110">
        <v>-608325922</v>
      </c>
      <c r="W110">
        <v>898098689</v>
      </c>
      <c r="X110">
        <v>-2175668235</v>
      </c>
      <c r="Y110">
        <v>-819615126</v>
      </c>
      <c r="Z110">
        <v>-1229474989</v>
      </c>
      <c r="AA110">
        <v>-693226007</v>
      </c>
      <c r="AB110">
        <v>-1467551619</v>
      </c>
      <c r="AC110">
        <v>-725418630</v>
      </c>
      <c r="AD110">
        <v>-416777386</v>
      </c>
      <c r="AE110">
        <v>-472426940</v>
      </c>
      <c r="AF110">
        <v>-771092960</v>
      </c>
      <c r="AG110">
        <v>-591513320</v>
      </c>
      <c r="AH110">
        <v>-744637749</v>
      </c>
      <c r="AI110">
        <v>-2788477952</v>
      </c>
      <c r="AL110">
        <v>-12181700</v>
      </c>
      <c r="AM110">
        <v>-505022201</v>
      </c>
      <c r="AN110">
        <v>18690255</v>
      </c>
      <c r="AO110">
        <v>26182554</v>
      </c>
      <c r="AP110">
        <v>-112804862</v>
      </c>
    </row>
    <row r="111" spans="1:42" ht="15.6" x14ac:dyDescent="0.3">
      <c r="A111" t="s">
        <v>262</v>
      </c>
    </row>
    <row r="112" spans="1:42" ht="15.6" x14ac:dyDescent="0.3">
      <c r="A112" t="s">
        <v>263</v>
      </c>
    </row>
    <row r="113" spans="1:42" ht="15.6" x14ac:dyDescent="0.3">
      <c r="A113" t="s">
        <v>264</v>
      </c>
      <c r="B113">
        <v>-75640220</v>
      </c>
      <c r="C113">
        <v>-81607557.079690218</v>
      </c>
      <c r="D113">
        <v>-10109949.742266446</v>
      </c>
      <c r="E113">
        <v>-105033451.34275916</v>
      </c>
      <c r="F113">
        <v>-61935681</v>
      </c>
      <c r="G113">
        <v>42889033.268362641</v>
      </c>
      <c r="H113">
        <v>-159723833.0494816</v>
      </c>
      <c r="I113">
        <v>-163213275.58646327</v>
      </c>
      <c r="J113">
        <v>-82492030.727446869</v>
      </c>
      <c r="K113">
        <v>-181015994.48832592</v>
      </c>
      <c r="L113">
        <v>-67121098.829967394</v>
      </c>
      <c r="M113">
        <v>96776942.963462219</v>
      </c>
      <c r="N113">
        <v>-178044661.1376276</v>
      </c>
      <c r="P113">
        <v>-9382919</v>
      </c>
      <c r="Q113">
        <v>1908225</v>
      </c>
      <c r="R113">
        <v>-12230130</v>
      </c>
      <c r="S113">
        <v>8679437</v>
      </c>
      <c r="T113">
        <v>-9145403</v>
      </c>
      <c r="U113">
        <v>-1086230</v>
      </c>
      <c r="V113">
        <v>-4939413</v>
      </c>
      <c r="W113">
        <v>-5379909</v>
      </c>
      <c r="X113">
        <v>-1659562</v>
      </c>
      <c r="Y113">
        <v>772831</v>
      </c>
      <c r="Z113">
        <v>-5213737</v>
      </c>
      <c r="AA113">
        <v>3887515</v>
      </c>
      <c r="AB113">
        <v>-2485073</v>
      </c>
    </row>
    <row r="114" spans="1:42" ht="15.6" x14ac:dyDescent="0.3">
      <c r="A114" t="s">
        <v>249</v>
      </c>
      <c r="AE114">
        <v>56916080</v>
      </c>
      <c r="AJ114">
        <v>-2069087</v>
      </c>
      <c r="AO114">
        <v>12286400</v>
      </c>
      <c r="AP114">
        <v>2060248</v>
      </c>
    </row>
    <row r="115" spans="1:42" ht="15.6" x14ac:dyDescent="0.3">
      <c r="A115" t="s">
        <v>250</v>
      </c>
      <c r="AD115">
        <v>-15159000</v>
      </c>
      <c r="AF115">
        <v>-4081006</v>
      </c>
      <c r="AG115">
        <v>3614497</v>
      </c>
      <c r="AH115">
        <v>466509</v>
      </c>
      <c r="AL115">
        <v>-1845314</v>
      </c>
      <c r="AM115">
        <v>38691222</v>
      </c>
    </row>
    <row r="116" spans="1:42" ht="15.6" x14ac:dyDescent="0.3">
      <c r="A116" t="s">
        <v>251</v>
      </c>
    </row>
    <row r="117" spans="1:42" ht="15.6" x14ac:dyDescent="0.3">
      <c r="A117" t="s">
        <v>213</v>
      </c>
      <c r="C117">
        <v>0</v>
      </c>
      <c r="D117">
        <v>0</v>
      </c>
      <c r="G117">
        <v>192097.91776132584</v>
      </c>
      <c r="H117">
        <v>-118214.71934127808</v>
      </c>
      <c r="I117">
        <v>-2664813588.3801713</v>
      </c>
      <c r="J117">
        <v>0</v>
      </c>
      <c r="K117">
        <v>-124685.13293552399</v>
      </c>
      <c r="L117">
        <v>148663.20944786072</v>
      </c>
      <c r="M117">
        <v>-2973092486.7330093</v>
      </c>
      <c r="N117">
        <v>0</v>
      </c>
    </row>
    <row r="118" spans="1:42" ht="15.6" x14ac:dyDescent="0.3">
      <c r="A118" t="s">
        <v>215</v>
      </c>
      <c r="B118">
        <v>-449080196</v>
      </c>
      <c r="C118">
        <v>-498301434.32509565</v>
      </c>
      <c r="D118">
        <v>-483157152.74914312</v>
      </c>
      <c r="E118">
        <v>-486370279.55945563</v>
      </c>
      <c r="F118">
        <v>-462235328</v>
      </c>
      <c r="G118">
        <v>-210526546.93704176</v>
      </c>
      <c r="H118">
        <v>-1296519942.3465953</v>
      </c>
      <c r="I118">
        <v>-1334961849.6979122</v>
      </c>
      <c r="J118">
        <v>-915834383.24944413</v>
      </c>
      <c r="K118">
        <v>-770050238.91629982</v>
      </c>
      <c r="L118">
        <v>-690645228.71554232</v>
      </c>
      <c r="M118">
        <v>-436313030.10799098</v>
      </c>
      <c r="N118">
        <v>-1148779690.256129</v>
      </c>
      <c r="P118">
        <v>-199643135</v>
      </c>
      <c r="Q118">
        <v>-235342797</v>
      </c>
      <c r="R118">
        <v>-167193523</v>
      </c>
      <c r="S118">
        <v>-144879271</v>
      </c>
      <c r="T118">
        <v>-159107056</v>
      </c>
      <c r="U118">
        <v>-100592955</v>
      </c>
      <c r="V118">
        <v>-116653956</v>
      </c>
      <c r="W118">
        <v>-107188555</v>
      </c>
      <c r="X118">
        <v>-148014778</v>
      </c>
      <c r="Y118">
        <v>-49095807</v>
      </c>
      <c r="Z118">
        <v>-171084794</v>
      </c>
    </row>
    <row r="119" spans="1:42" ht="15.6" x14ac:dyDescent="0.3">
      <c r="A119" t="s">
        <v>216</v>
      </c>
      <c r="B119">
        <v>135290969</v>
      </c>
      <c r="C119">
        <v>109876164.44743717</v>
      </c>
      <c r="D119">
        <v>186746853.849374</v>
      </c>
      <c r="E119">
        <v>197294493.29794043</v>
      </c>
      <c r="F119">
        <v>228764969</v>
      </c>
      <c r="G119">
        <v>210251153.97112441</v>
      </c>
      <c r="H119">
        <v>341231728.49954629</v>
      </c>
      <c r="I119">
        <v>542919406.72013795</v>
      </c>
      <c r="J119">
        <v>621977863.09852469</v>
      </c>
      <c r="K119">
        <v>716316802.97201324</v>
      </c>
      <c r="L119">
        <v>567262233.8694427</v>
      </c>
      <c r="M119">
        <v>456126053.04005587</v>
      </c>
      <c r="N119">
        <v>451614568.73366773</v>
      </c>
      <c r="P119">
        <v>134581765</v>
      </c>
      <c r="Q119">
        <v>142604396</v>
      </c>
      <c r="R119">
        <v>132043309</v>
      </c>
      <c r="S119">
        <v>73013077</v>
      </c>
      <c r="T119">
        <v>40360280</v>
      </c>
      <c r="U119">
        <v>87340153</v>
      </c>
      <c r="V119">
        <v>18275792</v>
      </c>
      <c r="W119">
        <v>22545549</v>
      </c>
      <c r="X119">
        <v>65532056</v>
      </c>
      <c r="Y119">
        <v>12105562</v>
      </c>
      <c r="Z119">
        <v>41844854</v>
      </c>
    </row>
    <row r="120" spans="1:42" ht="15.6" x14ac:dyDescent="0.3">
      <c r="A120" t="s">
        <v>218</v>
      </c>
    </row>
    <row r="121" spans="1:42" ht="15.6" x14ac:dyDescent="0.3">
      <c r="A121" t="s">
        <v>219</v>
      </c>
    </row>
    <row r="122" spans="1:42" ht="15.6" x14ac:dyDescent="0.3">
      <c r="A122" t="s">
        <v>217</v>
      </c>
    </row>
    <row r="123" spans="1:42" ht="15.6" x14ac:dyDescent="0.3">
      <c r="A123" t="s">
        <v>227</v>
      </c>
      <c r="R123">
        <v>424784783</v>
      </c>
    </row>
    <row r="124" spans="1:42" ht="15.6" x14ac:dyDescent="0.3">
      <c r="A124" t="s">
        <v>228</v>
      </c>
    </row>
    <row r="125" spans="1:42" ht="15.6" x14ac:dyDescent="0.3">
      <c r="A125" t="s">
        <v>265</v>
      </c>
      <c r="B125">
        <v>-2123429184</v>
      </c>
      <c r="C125">
        <v>-1955670621.9710779</v>
      </c>
      <c r="D125">
        <v>1075853437.498065</v>
      </c>
      <c r="E125">
        <v>4409837957.5667362</v>
      </c>
      <c r="F125">
        <v>2492390518</v>
      </c>
      <c r="G125">
        <v>374490245.95419168</v>
      </c>
      <c r="H125">
        <v>-759115671.22940171</v>
      </c>
      <c r="I125">
        <v>-7995402.8639458418</v>
      </c>
      <c r="J125">
        <v>765833587.5871377</v>
      </c>
      <c r="K125">
        <v>-1422408858.0818884</v>
      </c>
      <c r="L125">
        <v>1126409501.1419735</v>
      </c>
      <c r="M125">
        <v>-1645660700.7223065</v>
      </c>
      <c r="N125">
        <v>1638916000.4029415</v>
      </c>
      <c r="P125">
        <v>608900074</v>
      </c>
      <c r="Q125">
        <v>-44982596</v>
      </c>
      <c r="R125">
        <v>-242409645</v>
      </c>
      <c r="S125">
        <v>128276373</v>
      </c>
      <c r="T125">
        <v>-69128834</v>
      </c>
      <c r="U125">
        <v>425297552</v>
      </c>
      <c r="V125">
        <v>-273694703</v>
      </c>
      <c r="W125">
        <v>6813614</v>
      </c>
      <c r="X125">
        <v>-156091157</v>
      </c>
      <c r="Y125">
        <v>158350673</v>
      </c>
      <c r="Z125">
        <v>186067535</v>
      </c>
      <c r="AA125">
        <v>-10247849</v>
      </c>
      <c r="AB125">
        <v>40281876</v>
      </c>
      <c r="AC125">
        <v>-24834778</v>
      </c>
      <c r="AD125">
        <v>63436842</v>
      </c>
      <c r="AE125">
        <v>28519859</v>
      </c>
      <c r="AF125">
        <v>5534354</v>
      </c>
      <c r="AG125">
        <v>28087178</v>
      </c>
      <c r="AH125">
        <v>-68692820</v>
      </c>
      <c r="AI125">
        <v>43792072</v>
      </c>
      <c r="AJ125">
        <v>-189639652</v>
      </c>
      <c r="AK125">
        <v>181848147</v>
      </c>
      <c r="AL125">
        <v>-18062524</v>
      </c>
      <c r="AM125">
        <v>-27922098</v>
      </c>
      <c r="AN125">
        <v>-14685290</v>
      </c>
      <c r="AO125">
        <v>-168536623</v>
      </c>
      <c r="AP125">
        <v>221747943</v>
      </c>
    </row>
    <row r="126" spans="1:42" ht="15.6" x14ac:dyDescent="0.3">
      <c r="A126" t="s">
        <v>266</v>
      </c>
      <c r="N126">
        <v>-357358942.90498126</v>
      </c>
      <c r="AO126">
        <v>0</v>
      </c>
      <c r="AP126">
        <v>0</v>
      </c>
    </row>
    <row r="127" spans="1:42" ht="15.6" x14ac:dyDescent="0.3">
      <c r="A127" t="s">
        <v>267</v>
      </c>
      <c r="B127">
        <v>-2123429184</v>
      </c>
      <c r="C127">
        <v>-1955670621.9710779</v>
      </c>
      <c r="D127">
        <v>1075853437.498065</v>
      </c>
      <c r="E127">
        <v>4409837957.5667362</v>
      </c>
      <c r="F127">
        <v>2492390518</v>
      </c>
      <c r="G127">
        <v>374490245.95419168</v>
      </c>
      <c r="H127">
        <v>-759115671.22940171</v>
      </c>
      <c r="I127">
        <v>-7995402.8639458418</v>
      </c>
      <c r="J127">
        <v>765833587.5871377</v>
      </c>
      <c r="K127">
        <v>-1422408858.0818884</v>
      </c>
      <c r="L127">
        <v>1126409501.1419735</v>
      </c>
      <c r="M127">
        <v>-1288301757.8173251</v>
      </c>
      <c r="N127">
        <v>1281557057.4979601</v>
      </c>
      <c r="P127">
        <v>608900074</v>
      </c>
      <c r="Q127">
        <v>-44982596</v>
      </c>
      <c r="R127">
        <v>-242409645</v>
      </c>
      <c r="S127">
        <v>128276373</v>
      </c>
      <c r="T127">
        <v>-69128834</v>
      </c>
      <c r="U127">
        <v>425297552</v>
      </c>
      <c r="V127">
        <v>-273694703</v>
      </c>
      <c r="W127">
        <v>6813614</v>
      </c>
      <c r="X127">
        <v>-156091157</v>
      </c>
      <c r="Y127">
        <v>158350673</v>
      </c>
      <c r="Z127">
        <v>186067535</v>
      </c>
      <c r="AA127">
        <v>-10247849</v>
      </c>
      <c r="AB127">
        <v>40281876</v>
      </c>
      <c r="AC127">
        <v>-24834778</v>
      </c>
      <c r="AD127">
        <v>63436842</v>
      </c>
      <c r="AE127">
        <v>28519859</v>
      </c>
      <c r="AF127">
        <v>5534354</v>
      </c>
      <c r="AG127">
        <v>28087178</v>
      </c>
      <c r="AH127">
        <v>-68692820</v>
      </c>
      <c r="AI127">
        <v>43792072</v>
      </c>
      <c r="AJ127">
        <v>-189639652</v>
      </c>
      <c r="AK127">
        <v>181848147</v>
      </c>
      <c r="AL127">
        <v>-18062524</v>
      </c>
      <c r="AM127">
        <v>-27922098</v>
      </c>
      <c r="AN127">
        <v>-14685290</v>
      </c>
      <c r="AO127">
        <v>-168536623</v>
      </c>
      <c r="AP127">
        <v>221747943</v>
      </c>
    </row>
    <row r="128" spans="1:42" ht="15.6" x14ac:dyDescent="0.3">
      <c r="A128" t="s">
        <v>268</v>
      </c>
      <c r="B128">
        <v>7188751235</v>
      </c>
      <c r="C128">
        <v>1016148.5853815079</v>
      </c>
      <c r="D128">
        <v>-253188.67477750778</v>
      </c>
      <c r="E128">
        <v>-303917.78955793381</v>
      </c>
      <c r="F128">
        <v>1523418032</v>
      </c>
      <c r="G128">
        <v>133391259.24183202</v>
      </c>
      <c r="H128">
        <v>-136351665.08427286</v>
      </c>
      <c r="I128">
        <v>-896454.19084000587</v>
      </c>
      <c r="J128">
        <v>1665185993.0588453</v>
      </c>
      <c r="K128">
        <v>10591152.744982243</v>
      </c>
      <c r="L128">
        <v>-10444725.843234539</v>
      </c>
      <c r="M128">
        <v>8722873.0786590576</v>
      </c>
      <c r="N128">
        <v>3223585150.4394178</v>
      </c>
      <c r="P128">
        <v>0</v>
      </c>
      <c r="Q128">
        <v>0</v>
      </c>
      <c r="R128">
        <v>527522186</v>
      </c>
      <c r="S128">
        <v>0</v>
      </c>
      <c r="T128">
        <v>0</v>
      </c>
      <c r="U128">
        <v>0</v>
      </c>
      <c r="V128">
        <v>316771798</v>
      </c>
      <c r="W128">
        <v>128010</v>
      </c>
      <c r="X128">
        <v>-1081537</v>
      </c>
      <c r="Y128">
        <v>1112857</v>
      </c>
      <c r="Z128">
        <v>121471803</v>
      </c>
      <c r="AA128">
        <v>0</v>
      </c>
      <c r="AB128">
        <v>0</v>
      </c>
      <c r="AC128">
        <v>-31320</v>
      </c>
      <c r="AD128">
        <v>53026362</v>
      </c>
      <c r="AE128">
        <v>0</v>
      </c>
      <c r="AF128">
        <v>0</v>
      </c>
      <c r="AG128">
        <v>0</v>
      </c>
      <c r="AH128">
        <v>59546471</v>
      </c>
      <c r="AI128">
        <v>0</v>
      </c>
      <c r="AJ128">
        <v>0</v>
      </c>
      <c r="AK128">
        <v>0</v>
      </c>
      <c r="AL128">
        <v>41608428</v>
      </c>
      <c r="AM128">
        <v>0</v>
      </c>
      <c r="AN128">
        <v>0</v>
      </c>
      <c r="AO128">
        <v>0</v>
      </c>
      <c r="AP128">
        <v>31004496</v>
      </c>
    </row>
    <row r="129" spans="1:42" ht="15.6" x14ac:dyDescent="0.3">
      <c r="A129" t="s">
        <v>269</v>
      </c>
      <c r="B129">
        <v>4407385139</v>
      </c>
      <c r="C129">
        <v>-2006376002.1076851</v>
      </c>
      <c r="D129">
        <v>984679104.30007553</v>
      </c>
      <c r="E129">
        <v>4331360339.8974762</v>
      </c>
      <c r="F129">
        <v>3876990400</v>
      </c>
      <c r="G129">
        <v>302358756.81891561</v>
      </c>
      <c r="H129">
        <v>-868236766.56475425</v>
      </c>
      <c r="I129">
        <v>-124915671.41184855</v>
      </c>
      <c r="J129">
        <v>2214670755.2787333</v>
      </c>
      <c r="K129">
        <v>-1611627683.1363764</v>
      </c>
      <c r="L129">
        <v>586190781.22847605</v>
      </c>
      <c r="M129">
        <v>-1818346620.9321389</v>
      </c>
      <c r="N129">
        <v>4505142207.9373779</v>
      </c>
      <c r="P129">
        <v>608900074</v>
      </c>
      <c r="Q129">
        <v>-44982596</v>
      </c>
      <c r="R129">
        <v>285112541</v>
      </c>
      <c r="S129">
        <v>128276373</v>
      </c>
      <c r="T129">
        <v>-69128834</v>
      </c>
      <c r="U129">
        <v>425297552</v>
      </c>
      <c r="V129">
        <v>43077095</v>
      </c>
      <c r="W129">
        <v>6941624</v>
      </c>
      <c r="X129">
        <v>-157172694</v>
      </c>
      <c r="Y129">
        <v>159463530</v>
      </c>
      <c r="Z129">
        <v>307539338</v>
      </c>
      <c r="AA129">
        <v>-10247849</v>
      </c>
      <c r="AB129">
        <v>40281876</v>
      </c>
      <c r="AC129">
        <v>-24866098</v>
      </c>
      <c r="AD129">
        <v>116463204</v>
      </c>
      <c r="AE129">
        <v>28519859</v>
      </c>
      <c r="AF129">
        <v>5534354</v>
      </c>
      <c r="AG129">
        <v>28087178</v>
      </c>
      <c r="AH129">
        <v>-9146349</v>
      </c>
      <c r="AI129">
        <v>43792072</v>
      </c>
      <c r="AJ129">
        <v>-189639652</v>
      </c>
      <c r="AK129">
        <v>181848147</v>
      </c>
      <c r="AL129">
        <v>23545904</v>
      </c>
      <c r="AM129">
        <v>-27922098</v>
      </c>
      <c r="AN129">
        <v>-14685290</v>
      </c>
      <c r="AO129">
        <v>-168536623</v>
      </c>
      <c r="AP129">
        <v>252752439</v>
      </c>
    </row>
  </sheetData>
  <pageMargins left="0.7" right="0.7" top="0.75" bottom="0.75" header="0.3" footer="0.3"/>
  <ignoredErrors>
    <ignoredError sqref="A1:AP12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P129"/>
  <sheetViews>
    <sheetView workbookViewId="0"/>
  </sheetViews>
  <sheetFormatPr defaultRowHeight="14.4" outlineLevelCol="2" x14ac:dyDescent="0.3"/>
  <cols>
    <col min="1" max="1" width="40" customWidth="1" outlineLevel="2"/>
    <col min="2" max="42" width="20" customWidth="1"/>
  </cols>
  <sheetData>
    <row r="1" spans="1:4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124</v>
      </c>
    </row>
    <row r="2" spans="1:42" ht="15.6" x14ac:dyDescent="0.3">
      <c r="A2" t="s">
        <v>125</v>
      </c>
    </row>
    <row r="3" spans="1:42" ht="15.6" x14ac:dyDescent="0.3">
      <c r="A3" t="s">
        <v>167</v>
      </c>
      <c r="B3">
        <v>11317355549.307556</v>
      </c>
      <c r="C3">
        <v>12987582865.307556</v>
      </c>
      <c r="D3">
        <v>5582826198.285882</v>
      </c>
      <c r="E3">
        <v>15199557445.939522</v>
      </c>
      <c r="F3">
        <v>18972207237.406055</v>
      </c>
      <c r="G3">
        <v>18153923003.421299</v>
      </c>
      <c r="H3">
        <v>22297258362.276405</v>
      </c>
      <c r="I3">
        <v>12930942215.643276</v>
      </c>
      <c r="J3">
        <v>10241182268.673985</v>
      </c>
      <c r="K3">
        <v>10950469799.329779</v>
      </c>
      <c r="O3">
        <v>1406852830.9774656</v>
      </c>
      <c r="P3">
        <v>1320505827</v>
      </c>
      <c r="Q3">
        <v>1443859442</v>
      </c>
      <c r="R3">
        <v>272459053</v>
      </c>
      <c r="S3">
        <v>917530147</v>
      </c>
      <c r="T3">
        <v>596598101</v>
      </c>
      <c r="U3">
        <v>364391891</v>
      </c>
      <c r="V3">
        <v>1325169288</v>
      </c>
      <c r="W3">
        <v>1226647112</v>
      </c>
      <c r="X3">
        <v>1504172691</v>
      </c>
      <c r="Y3">
        <v>1079034109</v>
      </c>
      <c r="Z3">
        <v>963958256</v>
      </c>
      <c r="AA3">
        <v>810153303</v>
      </c>
      <c r="AB3">
        <v>719688746</v>
      </c>
      <c r="AC3">
        <v>567229599</v>
      </c>
      <c r="AD3">
        <v>-26820646</v>
      </c>
      <c r="AE3">
        <v>-244838660</v>
      </c>
      <c r="AF3">
        <v>-650559173</v>
      </c>
      <c r="AG3">
        <v>-339380181</v>
      </c>
      <c r="AH3">
        <v>-25583581</v>
      </c>
      <c r="AI3">
        <v>228373156</v>
      </c>
      <c r="AJ3">
        <v>118029948</v>
      </c>
      <c r="AK3">
        <v>-98715982</v>
      </c>
      <c r="AL3">
        <v>-459220449</v>
      </c>
      <c r="AM3">
        <v>-181838285</v>
      </c>
    </row>
    <row r="4" spans="1:42" ht="15.6" x14ac:dyDescent="0.3">
      <c r="A4" t="s">
        <v>164</v>
      </c>
      <c r="B4">
        <v>4858501372.3182049</v>
      </c>
      <c r="C4">
        <v>4787429875.3182049</v>
      </c>
      <c r="D4">
        <v>2552171883.4217858</v>
      </c>
      <c r="E4">
        <v>2747462648.7728643</v>
      </c>
      <c r="F4">
        <v>3162157269.9760437</v>
      </c>
      <c r="G4">
        <v>4246614565.9320292</v>
      </c>
      <c r="H4">
        <v>9708203276.2627525</v>
      </c>
      <c r="I4">
        <v>10063926675.772295</v>
      </c>
      <c r="J4">
        <v>11417991535.3503</v>
      </c>
      <c r="K4">
        <v>12697732787.161289</v>
      </c>
      <c r="O4">
        <v>13052788100.696812</v>
      </c>
      <c r="P4">
        <v>5166731046</v>
      </c>
      <c r="Q4">
        <v>3932650575</v>
      </c>
      <c r="R4">
        <v>2863429339</v>
      </c>
      <c r="S4">
        <v>1835086655</v>
      </c>
      <c r="T4">
        <v>1045016839</v>
      </c>
      <c r="U4">
        <v>822061162</v>
      </c>
      <c r="V4">
        <v>692702216</v>
      </c>
      <c r="W4">
        <v>558004789</v>
      </c>
      <c r="X4">
        <v>553398904</v>
      </c>
      <c r="Y4">
        <v>517815181</v>
      </c>
      <c r="Z4">
        <v>454509581</v>
      </c>
      <c r="AA4">
        <v>455343289</v>
      </c>
      <c r="AB4">
        <v>370069341</v>
      </c>
      <c r="AC4">
        <v>294406566</v>
      </c>
      <c r="AD4">
        <v>210208275</v>
      </c>
      <c r="AE4">
        <v>150478434</v>
      </c>
      <c r="AF4">
        <v>400440559</v>
      </c>
      <c r="AG4">
        <v>553356744</v>
      </c>
      <c r="AH4">
        <v>521600149</v>
      </c>
      <c r="AI4">
        <v>389574034</v>
      </c>
      <c r="AJ4">
        <v>-161362883</v>
      </c>
      <c r="AK4">
        <v>-431385445</v>
      </c>
      <c r="AL4">
        <v>-456467528</v>
      </c>
      <c r="AM4">
        <v>-362856409</v>
      </c>
    </row>
    <row r="5" spans="1:42" ht="15.6" x14ac:dyDescent="0.3">
      <c r="A5" t="s">
        <v>168</v>
      </c>
      <c r="B5">
        <v>10136755757.391941</v>
      </c>
      <c r="C5">
        <v>11284431171.391941</v>
      </c>
      <c r="D5">
        <v>11267771371.979118</v>
      </c>
      <c r="E5">
        <v>12685206650.889137</v>
      </c>
      <c r="F5">
        <v>12655237302.107807</v>
      </c>
      <c r="G5">
        <v>11619782442.528984</v>
      </c>
      <c r="H5">
        <v>8086836560.3414459</v>
      </c>
      <c r="I5">
        <v>4413270590.9812927</v>
      </c>
      <c r="J5">
        <v>9882502722.0422211</v>
      </c>
      <c r="K5">
        <v>9127064688.0819206</v>
      </c>
      <c r="O5">
        <v>5386353626.5471077</v>
      </c>
      <c r="P5">
        <v>546274689</v>
      </c>
      <c r="Q5">
        <v>1212645393</v>
      </c>
      <c r="R5">
        <v>1149597911</v>
      </c>
      <c r="S5">
        <v>1323518205</v>
      </c>
      <c r="T5">
        <v>860798198</v>
      </c>
      <c r="U5">
        <v>1081109475</v>
      </c>
      <c r="V5">
        <v>1161426472</v>
      </c>
      <c r="W5">
        <v>1012568988</v>
      </c>
      <c r="X5">
        <v>698536495</v>
      </c>
      <c r="Y5">
        <v>640575408</v>
      </c>
      <c r="Z5">
        <v>485439160</v>
      </c>
      <c r="AA5">
        <v>654325805</v>
      </c>
      <c r="AB5">
        <v>1112705987</v>
      </c>
      <c r="AC5">
        <v>1305873132</v>
      </c>
      <c r="AD5">
        <v>1276615381</v>
      </c>
      <c r="AE5">
        <v>985093449</v>
      </c>
      <c r="AF5">
        <v>1127400539</v>
      </c>
      <c r="AG5">
        <v>626408744</v>
      </c>
      <c r="AH5">
        <v>264771289</v>
      </c>
      <c r="AI5">
        <v>239433844</v>
      </c>
      <c r="AJ5">
        <v>555107441</v>
      </c>
      <c r="AK5">
        <v>657947960</v>
      </c>
      <c r="AL5">
        <v>664194922</v>
      </c>
      <c r="AM5">
        <v>685347456</v>
      </c>
    </row>
    <row r="6" spans="1:42" ht="15.6" x14ac:dyDescent="0.3">
      <c r="A6" t="s">
        <v>169</v>
      </c>
      <c r="B6">
        <v>3725068119.0864263</v>
      </c>
      <c r="C6">
        <v>3617256231.0864263</v>
      </c>
      <c r="D6">
        <v>3167276820.482532</v>
      </c>
      <c r="E6">
        <v>3040923213.7910843</v>
      </c>
      <c r="F6">
        <v>2907845423.4580431</v>
      </c>
      <c r="G6">
        <v>2903158416.8448009</v>
      </c>
      <c r="H6">
        <v>3256559578.110465</v>
      </c>
      <c r="I6">
        <v>3220831529.8038225</v>
      </c>
      <c r="J6">
        <v>3228245275.6723533</v>
      </c>
      <c r="K6">
        <v>3217036000.57477</v>
      </c>
      <c r="O6">
        <v>4981127582.4918518</v>
      </c>
      <c r="P6">
        <v>1217506997</v>
      </c>
      <c r="Q6">
        <v>901772809</v>
      </c>
      <c r="R6">
        <v>708278991</v>
      </c>
      <c r="S6">
        <v>567944040</v>
      </c>
      <c r="T6">
        <v>523106990</v>
      </c>
      <c r="U6">
        <v>502539528</v>
      </c>
      <c r="V6">
        <v>479044704</v>
      </c>
      <c r="W6">
        <v>465598364</v>
      </c>
      <c r="X6">
        <v>469393491</v>
      </c>
      <c r="Y6">
        <v>477599326</v>
      </c>
      <c r="Z6">
        <v>481885785</v>
      </c>
      <c r="AA6">
        <v>485469510</v>
      </c>
      <c r="AB6">
        <v>441528948</v>
      </c>
      <c r="AC6">
        <v>427682811</v>
      </c>
      <c r="AD6">
        <v>415672519</v>
      </c>
      <c r="AE6">
        <v>394018340</v>
      </c>
      <c r="AF6">
        <v>371599127</v>
      </c>
      <c r="AG6">
        <v>317009915</v>
      </c>
      <c r="AH6">
        <v>272605255</v>
      </c>
      <c r="AI6">
        <v>225000266</v>
      </c>
      <c r="AJ6">
        <v>207857158</v>
      </c>
      <c r="AK6">
        <v>201949783</v>
      </c>
      <c r="AL6">
        <v>186013530</v>
      </c>
      <c r="AM6">
        <v>185212649</v>
      </c>
    </row>
    <row r="7" spans="1:42" ht="15.6" x14ac:dyDescent="0.3">
      <c r="A7" t="s">
        <v>170</v>
      </c>
      <c r="B7">
        <v>-1211440213.2576277</v>
      </c>
      <c r="C7">
        <v>-1419077825.2576277</v>
      </c>
      <c r="D7">
        <v>288553441.57009518</v>
      </c>
      <c r="E7">
        <v>408041480.56212497</v>
      </c>
      <c r="F7">
        <v>474020257.25376487</v>
      </c>
      <c r="G7">
        <v>651926696.8264848</v>
      </c>
      <c r="H7">
        <v>-243378243.4609018</v>
      </c>
      <c r="I7">
        <v>86895784.914674282</v>
      </c>
      <c r="J7">
        <v>516512839.28223068</v>
      </c>
      <c r="K7">
        <v>955985411.88260972</v>
      </c>
      <c r="O7">
        <v>5400463371.9952765</v>
      </c>
      <c r="P7">
        <v>42443165</v>
      </c>
      <c r="Q7">
        <v>36263466</v>
      </c>
      <c r="R7">
        <v>83777735</v>
      </c>
      <c r="S7">
        <v>17591328</v>
      </c>
      <c r="T7">
        <v>-1287990</v>
      </c>
      <c r="U7">
        <v>1333118</v>
      </c>
      <c r="V7">
        <v>15389500</v>
      </c>
      <c r="W7">
        <v>10743045</v>
      </c>
      <c r="X7">
        <v>15818115</v>
      </c>
      <c r="Y7">
        <v>868740</v>
      </c>
      <c r="AA7">
        <v>-5772916</v>
      </c>
    </row>
    <row r="8" spans="1:42" ht="15.6" x14ac:dyDescent="0.3">
      <c r="A8" t="s">
        <v>171</v>
      </c>
      <c r="B8">
        <v>85594894.915842071</v>
      </c>
      <c r="C8">
        <v>76103637.915842071</v>
      </c>
      <c r="D8">
        <v>44999658.625191264</v>
      </c>
      <c r="E8">
        <v>74944332.556118667</v>
      </c>
      <c r="F8">
        <v>80406237.31473054</v>
      </c>
      <c r="G8">
        <v>83798263.113968357</v>
      </c>
      <c r="H8">
        <v>89440111.725383967</v>
      </c>
      <c r="I8">
        <v>71517770.09299475</v>
      </c>
      <c r="J8">
        <v>88097866.502245903</v>
      </c>
      <c r="K8">
        <v>88291995.059157029</v>
      </c>
      <c r="O8">
        <v>104442893.76843892</v>
      </c>
      <c r="P8">
        <v>18767019</v>
      </c>
      <c r="Q8">
        <v>14857810</v>
      </c>
      <c r="R8">
        <v>11839422</v>
      </c>
      <c r="S8">
        <v>4938481</v>
      </c>
      <c r="T8">
        <v>17498366</v>
      </c>
      <c r="U8">
        <v>18516681</v>
      </c>
      <c r="V8">
        <v>18701816</v>
      </c>
      <c r="W8">
        <v>23111909</v>
      </c>
      <c r="X8">
        <v>6510107</v>
      </c>
      <c r="Y8">
        <v>6450293</v>
      </c>
      <c r="Z8">
        <v>5624237</v>
      </c>
      <c r="AA8">
        <v>4119964</v>
      </c>
      <c r="AB8">
        <v>1404865</v>
      </c>
      <c r="AC8">
        <v>1174906</v>
      </c>
      <c r="AD8">
        <v>1136714</v>
      </c>
      <c r="AE8">
        <v>1068441</v>
      </c>
      <c r="AF8">
        <v>1008850</v>
      </c>
      <c r="AG8">
        <v>1254876</v>
      </c>
      <c r="AH8">
        <v>977282</v>
      </c>
      <c r="AI8">
        <v>1737030</v>
      </c>
      <c r="AJ8">
        <v>35446</v>
      </c>
      <c r="AK8">
        <v>1351718</v>
      </c>
      <c r="AL8">
        <v>1787831</v>
      </c>
      <c r="AM8">
        <v>1712859</v>
      </c>
    </row>
    <row r="9" spans="1:42" ht="15.6" x14ac:dyDescent="0.3">
      <c r="A9" t="s">
        <v>172</v>
      </c>
    </row>
    <row r="10" spans="1:42" ht="15.6" x14ac:dyDescent="0.3">
      <c r="A10" t="s">
        <v>173</v>
      </c>
    </row>
    <row r="11" spans="1:42" ht="15.6" x14ac:dyDescent="0.3">
      <c r="A11" t="s">
        <v>174</v>
      </c>
    </row>
    <row r="12" spans="1:42" ht="15.6" x14ac:dyDescent="0.3">
      <c r="A12" t="s">
        <v>175</v>
      </c>
      <c r="B12">
        <v>1276569998.6803267</v>
      </c>
      <c r="C12">
        <v>1221302346.6803267</v>
      </c>
      <c r="D12">
        <v>1275642666.3066235</v>
      </c>
      <c r="E12">
        <v>1721542392.8329096</v>
      </c>
      <c r="F12">
        <v>2241243655.6922212</v>
      </c>
      <c r="G12">
        <v>2447847989.8075056</v>
      </c>
      <c r="H12">
        <v>2128970673.8089714</v>
      </c>
      <c r="I12">
        <v>1582352931.9681063</v>
      </c>
      <c r="J12">
        <v>1066429446.5170944</v>
      </c>
      <c r="K12">
        <v>933215628.96083152</v>
      </c>
      <c r="O12">
        <v>1861477679.4934437</v>
      </c>
      <c r="P12">
        <v>337422524</v>
      </c>
      <c r="Q12">
        <v>333344577</v>
      </c>
      <c r="R12">
        <v>278661570</v>
      </c>
      <c r="S12">
        <v>307506220</v>
      </c>
      <c r="T12">
        <v>306475985</v>
      </c>
      <c r="U12">
        <v>260497090</v>
      </c>
      <c r="V12">
        <v>284020466</v>
      </c>
      <c r="W12">
        <v>308912656</v>
      </c>
      <c r="X12">
        <v>134435815</v>
      </c>
      <c r="Y12">
        <v>253555862</v>
      </c>
      <c r="Z12">
        <v>261624523</v>
      </c>
      <c r="AA12">
        <v>343035742</v>
      </c>
      <c r="AB12">
        <v>594642337</v>
      </c>
      <c r="AC12">
        <v>556753221</v>
      </c>
      <c r="AD12">
        <v>575730063</v>
      </c>
      <c r="AE12">
        <v>500210223</v>
      </c>
      <c r="AF12">
        <v>409184767</v>
      </c>
      <c r="AG12">
        <v>374173437</v>
      </c>
      <c r="AH12">
        <v>397775125</v>
      </c>
      <c r="AI12">
        <v>375036989</v>
      </c>
      <c r="AJ12">
        <v>288654406</v>
      </c>
      <c r="AK12">
        <v>311999295</v>
      </c>
      <c r="AL12">
        <v>272140707</v>
      </c>
      <c r="AM12">
        <v>255259874</v>
      </c>
    </row>
    <row r="13" spans="1:42" ht="15.6" x14ac:dyDescent="0.3">
      <c r="A13" t="s">
        <v>176</v>
      </c>
    </row>
    <row r="14" spans="1:42" ht="15.6" x14ac:dyDescent="0.3">
      <c r="A14" t="s">
        <v>177</v>
      </c>
    </row>
    <row r="15" spans="1:42" ht="15.6" x14ac:dyDescent="0.3">
      <c r="A15" t="s">
        <v>178</v>
      </c>
      <c r="B15">
        <v>716246779.34828854</v>
      </c>
      <c r="C15">
        <v>2339771018.3482885</v>
      </c>
      <c r="D15">
        <v>1073721944.1090336</v>
      </c>
      <c r="E15">
        <v>3117708221.5608153</v>
      </c>
      <c r="F15">
        <v>2646599496.5023847</v>
      </c>
      <c r="G15">
        <v>2347532195.9710803</v>
      </c>
      <c r="H15">
        <v>3489157323.1246901</v>
      </c>
      <c r="I15">
        <v>-858603390.01740646</v>
      </c>
      <c r="J15">
        <v>6694837930.5716276</v>
      </c>
      <c r="K15">
        <v>7512286846.8875895</v>
      </c>
      <c r="O15">
        <v>4874990575.0545559</v>
      </c>
      <c r="P15">
        <v>-2164701680</v>
      </c>
      <c r="Q15">
        <v>-957192884</v>
      </c>
      <c r="R15">
        <v>-655139911</v>
      </c>
      <c r="S15">
        <v>-169775395</v>
      </c>
      <c r="T15">
        <v>-233451452</v>
      </c>
      <c r="U15">
        <v>22463068</v>
      </c>
      <c r="V15">
        <v>52427608</v>
      </c>
      <c r="W15">
        <v>39477229</v>
      </c>
      <c r="X15">
        <v>-57090255</v>
      </c>
      <c r="Y15">
        <v>-187899236</v>
      </c>
      <c r="Z15">
        <v>-364267111</v>
      </c>
      <c r="AA15">
        <v>-277229506</v>
      </c>
      <c r="AB15">
        <v>135643452</v>
      </c>
      <c r="AC15">
        <v>324730248</v>
      </c>
      <c r="AD15">
        <v>313308631</v>
      </c>
      <c r="AE15">
        <v>131237231</v>
      </c>
      <c r="AF15">
        <v>695333718</v>
      </c>
      <c r="AG15">
        <v>459123407</v>
      </c>
      <c r="AH15">
        <v>246266285</v>
      </c>
      <c r="AI15">
        <v>270468189</v>
      </c>
      <c r="AJ15">
        <v>280038749</v>
      </c>
      <c r="AK15">
        <v>226268040</v>
      </c>
      <c r="AL15">
        <v>196080339</v>
      </c>
      <c r="AM15">
        <v>220429096</v>
      </c>
    </row>
    <row r="16" spans="1:42" ht="15.6" x14ac:dyDescent="0.3">
      <c r="A16" t="s">
        <v>179</v>
      </c>
    </row>
    <row r="17" spans="1:39" ht="15.6" x14ac:dyDescent="0.3">
      <c r="A17" t="s">
        <v>180</v>
      </c>
    </row>
    <row r="18" spans="1:39" ht="15.6" x14ac:dyDescent="0.3">
      <c r="A18" t="s">
        <v>181</v>
      </c>
      <c r="B18">
        <v>-12360100.686923534</v>
      </c>
      <c r="C18">
        <v>6849613.3130764654</v>
      </c>
      <c r="D18">
        <v>59237581.07378532</v>
      </c>
      <c r="E18">
        <v>103042227.579418</v>
      </c>
      <c r="F18">
        <v>54479576.36406824</v>
      </c>
      <c r="G18">
        <v>16036996.224402156</v>
      </c>
      <c r="H18">
        <v>-17031853.556760706</v>
      </c>
      <c r="I18">
        <v>-50772329.485197276</v>
      </c>
      <c r="J18">
        <v>-89710182.646738097</v>
      </c>
      <c r="K18">
        <v>-87393955.839004681</v>
      </c>
      <c r="O18">
        <v>-224687411.09931269</v>
      </c>
      <c r="P18">
        <v>-53187349</v>
      </c>
      <c r="Q18">
        <v>-36383501</v>
      </c>
      <c r="R18">
        <v>-106264040</v>
      </c>
      <c r="S18">
        <v>31951757</v>
      </c>
      <c r="T18">
        <v>-4451728</v>
      </c>
      <c r="U18">
        <v>25885330</v>
      </c>
      <c r="V18">
        <v>124761094</v>
      </c>
      <c r="W18">
        <v>15982363</v>
      </c>
      <c r="X18">
        <v>14505901</v>
      </c>
      <c r="Y18">
        <v>-9962234</v>
      </c>
      <c r="Z18">
        <v>3782557</v>
      </c>
      <c r="AA18">
        <v>8744964</v>
      </c>
      <c r="AB18">
        <v>-62094283</v>
      </c>
      <c r="AC18">
        <v>-23568552</v>
      </c>
      <c r="AD18">
        <v>-65112886</v>
      </c>
      <c r="AE18">
        <v>-68098736</v>
      </c>
      <c r="AF18">
        <v>-10054053</v>
      </c>
      <c r="AH18">
        <v>-5450550</v>
      </c>
      <c r="AI18">
        <v>2274964</v>
      </c>
      <c r="AJ18">
        <v>-20763312</v>
      </c>
      <c r="AM18">
        <v>-5165563</v>
      </c>
    </row>
    <row r="19" spans="1:39" ht="15.6" x14ac:dyDescent="0.3">
      <c r="A19" t="s">
        <v>182</v>
      </c>
      <c r="C19">
        <v>0</v>
      </c>
      <c r="G19">
        <v>0</v>
      </c>
      <c r="Q19">
        <v>0</v>
      </c>
      <c r="R19">
        <v>0</v>
      </c>
      <c r="S19">
        <v>0</v>
      </c>
    </row>
    <row r="20" spans="1:39" ht="15.6" x14ac:dyDescent="0.3">
      <c r="A20" t="s">
        <v>183</v>
      </c>
      <c r="B20">
        <v>3339734153.7016225</v>
      </c>
      <c r="C20">
        <v>3483642021.7016225</v>
      </c>
      <c r="D20">
        <v>2628991356.1199322</v>
      </c>
      <c r="E20">
        <v>2739657562.7124944</v>
      </c>
      <c r="F20">
        <v>2712741170.0185027</v>
      </c>
      <c r="G20">
        <v>2520944676.0755749</v>
      </c>
      <c r="H20">
        <v>507635533.28721046</v>
      </c>
      <c r="I20">
        <v>1459533342.2040541</v>
      </c>
      <c r="J20">
        <v>2433645296.0858932</v>
      </c>
      <c r="K20">
        <v>2153764723.9838705</v>
      </c>
      <c r="O20">
        <v>3910086952.2972279</v>
      </c>
      <c r="P20">
        <v>1149902215</v>
      </c>
      <c r="Q20">
        <v>921861318</v>
      </c>
      <c r="R20">
        <v>830322346</v>
      </c>
      <c r="S20">
        <v>565239976</v>
      </c>
      <c r="T20">
        <v>252911073</v>
      </c>
      <c r="U20">
        <v>249879628</v>
      </c>
      <c r="V20">
        <v>187089541</v>
      </c>
      <c r="W20">
        <v>148824227</v>
      </c>
      <c r="X20">
        <v>115192465</v>
      </c>
      <c r="Y20">
        <v>100189879</v>
      </c>
      <c r="Z20">
        <v>96694349</v>
      </c>
      <c r="AA20">
        <v>96109432</v>
      </c>
      <c r="AB20">
        <v>46424941</v>
      </c>
      <c r="AC20">
        <v>51428504</v>
      </c>
      <c r="AD20">
        <v>35924325</v>
      </c>
      <c r="AE20">
        <v>29298814</v>
      </c>
      <c r="AF20">
        <v>1265634</v>
      </c>
      <c r="AG20">
        <v>-27230340</v>
      </c>
      <c r="AH20">
        <v>-53379312</v>
      </c>
      <c r="AI20">
        <v>-43143042</v>
      </c>
      <c r="AJ20">
        <v>-77570175</v>
      </c>
      <c r="AK20">
        <v>-82505298</v>
      </c>
      <c r="AL20">
        <v>-72609548</v>
      </c>
      <c r="AM20">
        <v>-58305896</v>
      </c>
    </row>
    <row r="21" spans="1:39" ht="15.6" x14ac:dyDescent="0.3">
      <c r="A21" t="s">
        <v>184</v>
      </c>
      <c r="O21">
        <v>-15521548017.454374</v>
      </c>
    </row>
    <row r="22" spans="1:39" ht="15.6" x14ac:dyDescent="0.3">
      <c r="A22" t="s">
        <v>185</v>
      </c>
      <c r="B22">
        <v>-189541784.03217536</v>
      </c>
      <c r="C22">
        <v>-190060654.03217536</v>
      </c>
      <c r="D22">
        <v>1481037.3464129185</v>
      </c>
      <c r="E22">
        <v>-3695714.5507376692</v>
      </c>
      <c r="F22">
        <v>-3884078.9441156164</v>
      </c>
      <c r="G22">
        <v>-3422753.8192192651</v>
      </c>
      <c r="H22">
        <v>65608750.889102466</v>
      </c>
      <c r="I22">
        <v>165141226.14480585</v>
      </c>
      <c r="J22">
        <v>184767550.27392301</v>
      </c>
      <c r="K22">
        <v>65608750.889102466</v>
      </c>
      <c r="O22">
        <v>0</v>
      </c>
      <c r="Q22">
        <v>-1878202</v>
      </c>
      <c r="R22">
        <v>-1878202</v>
      </c>
      <c r="S22">
        <v>-1878202</v>
      </c>
      <c r="U22">
        <v>-4968</v>
      </c>
      <c r="V22">
        <v>-8257</v>
      </c>
      <c r="W22">
        <v>-80805</v>
      </c>
      <c r="X22">
        <v>-229144</v>
      </c>
      <c r="Y22">
        <v>-227222</v>
      </c>
      <c r="Z22">
        <v>-223933</v>
      </c>
      <c r="AA22">
        <v>-151385</v>
      </c>
      <c r="AB22">
        <v>6430</v>
      </c>
      <c r="AC22">
        <v>-31688</v>
      </c>
      <c r="AD22">
        <v>-43985</v>
      </c>
      <c r="AE22">
        <v>-2640864</v>
      </c>
      <c r="AF22">
        <v>-13641169</v>
      </c>
      <c r="AG22">
        <v>-4047710</v>
      </c>
      <c r="AH22">
        <v>-4067929</v>
      </c>
      <c r="AI22">
        <v>-1985685</v>
      </c>
      <c r="AJ22">
        <v>95404967</v>
      </c>
      <c r="AK22">
        <v>85456902</v>
      </c>
      <c r="AL22">
        <v>85947626</v>
      </c>
      <c r="AM22">
        <v>86204437</v>
      </c>
    </row>
    <row r="23" spans="1:39" ht="15.6" x14ac:dyDescent="0.3">
      <c r="A23" t="s">
        <v>186</v>
      </c>
      <c r="AF23">
        <v>46013293</v>
      </c>
      <c r="AG23">
        <v>46013293</v>
      </c>
      <c r="AI23">
        <v>-57182866</v>
      </c>
      <c r="AJ23">
        <v>-57182866</v>
      </c>
      <c r="AM23">
        <v>0</v>
      </c>
    </row>
    <row r="24" spans="1:39" ht="15.6" x14ac:dyDescent="0.3">
      <c r="A24" t="s">
        <v>187</v>
      </c>
    </row>
    <row r="25" spans="1:39" ht="15.6" x14ac:dyDescent="0.3">
      <c r="A25" t="s">
        <v>188</v>
      </c>
      <c r="C25">
        <v>0</v>
      </c>
      <c r="D25">
        <v>31463459.626770854</v>
      </c>
      <c r="E25">
        <v>-501914999.55891937</v>
      </c>
      <c r="G25">
        <v>-501914999.55891937</v>
      </c>
      <c r="H25">
        <v>-533378459.18569022</v>
      </c>
      <c r="K25">
        <v>0</v>
      </c>
      <c r="AI25">
        <v>-532772001</v>
      </c>
      <c r="AJ25">
        <v>-161366932</v>
      </c>
      <c r="AK25">
        <v>-24224051</v>
      </c>
      <c r="AM25">
        <v>0</v>
      </c>
    </row>
    <row r="26" spans="1:39" ht="15.6" x14ac:dyDescent="0.3">
      <c r="A26" t="s">
        <v>189</v>
      </c>
    </row>
    <row r="27" spans="1:39" ht="15.6" x14ac:dyDescent="0.3">
      <c r="A27" t="s">
        <v>190</v>
      </c>
    </row>
    <row r="28" spans="1:39" ht="15.6" x14ac:dyDescent="0.3">
      <c r="A28" t="s">
        <v>191</v>
      </c>
      <c r="B28">
        <v>-383300786.8945322</v>
      </c>
      <c r="C28">
        <v>-317376685.89453226</v>
      </c>
      <c r="D28">
        <v>-6009869688.9992981</v>
      </c>
      <c r="E28">
        <v>1179719540.2191215</v>
      </c>
      <c r="F28">
        <v>4042433582.7771163</v>
      </c>
      <c r="G28">
        <v>3284519680.4658451</v>
      </c>
      <c r="H28">
        <v>5736015678.4947615</v>
      </c>
      <c r="I28">
        <v>231048741.04965043</v>
      </c>
      <c r="J28">
        <v>-9705264354.4749165</v>
      </c>
      <c r="K28">
        <v>-9559261153.8762035</v>
      </c>
      <c r="O28">
        <v>-14747928475.555733</v>
      </c>
      <c r="P28">
        <v>-3788851874</v>
      </c>
      <c r="Q28">
        <v>-3405752093</v>
      </c>
      <c r="R28">
        <v>-3152008723</v>
      </c>
      <c r="S28">
        <v>-2103563928</v>
      </c>
      <c r="T28">
        <v>-1255710962</v>
      </c>
      <c r="U28">
        <v>-1506066564</v>
      </c>
      <c r="V28">
        <v>-520049295</v>
      </c>
      <c r="W28">
        <v>-308043847</v>
      </c>
      <c r="X28">
        <v>-198954165</v>
      </c>
      <c r="Y28">
        <v>-35402719</v>
      </c>
      <c r="Z28">
        <v>-134832018</v>
      </c>
      <c r="AA28">
        <v>-279753737</v>
      </c>
      <c r="AB28">
        <v>-180200684</v>
      </c>
      <c r="AC28">
        <v>-832227522</v>
      </c>
      <c r="AD28">
        <v>-1010501402</v>
      </c>
      <c r="AE28">
        <v>-984438723</v>
      </c>
      <c r="AF28">
        <v>-1796401013</v>
      </c>
      <c r="AG28">
        <v>-1167860136</v>
      </c>
      <c r="AH28">
        <v>-438921809</v>
      </c>
      <c r="AI28">
        <v>-54123245</v>
      </c>
      <c r="AJ28">
        <v>81186641</v>
      </c>
      <c r="AK28">
        <v>91742935</v>
      </c>
      <c r="AL28">
        <v>-347115495</v>
      </c>
      <c r="AM28">
        <v>-203282124</v>
      </c>
    </row>
    <row r="29" spans="1:39" ht="15.6" x14ac:dyDescent="0.3">
      <c r="A29" t="s">
        <v>192</v>
      </c>
      <c r="S29">
        <v>-592983082</v>
      </c>
    </row>
    <row r="30" spans="1:39" ht="15.6" x14ac:dyDescent="0.3">
      <c r="A30" t="s">
        <v>193</v>
      </c>
    </row>
    <row r="31" spans="1:39" ht="15.6" x14ac:dyDescent="0.3">
      <c r="A31" t="s">
        <v>194</v>
      </c>
      <c r="B31">
        <v>2691504935.4432206</v>
      </c>
      <c r="C31">
        <v>3277920350.4432206</v>
      </c>
      <c r="D31">
        <v>-1057386500.0234257</v>
      </c>
      <c r="E31">
        <v>-2608810718.6160851</v>
      </c>
      <c r="F31">
        <v>7136392025.373558</v>
      </c>
      <c r="G31">
        <v>4870466035.6450186</v>
      </c>
      <c r="H31">
        <v>3263767438.0215054</v>
      </c>
      <c r="I31">
        <v>3428037449.8847055</v>
      </c>
      <c r="J31">
        <v>-11887538750.630581</v>
      </c>
      <c r="K31">
        <v>-9551910228.4236317</v>
      </c>
      <c r="O31">
        <v>-13511642337.759563</v>
      </c>
      <c r="P31">
        <v>-5583813458</v>
      </c>
      <c r="Q31">
        <v>-4760858296</v>
      </c>
      <c r="R31">
        <v>-3673564706</v>
      </c>
      <c r="S31">
        <v>-2666057445</v>
      </c>
      <c r="T31">
        <v>-748156735</v>
      </c>
      <c r="U31">
        <v>-590665520</v>
      </c>
      <c r="V31">
        <v>-835204979</v>
      </c>
      <c r="W31">
        <v>-786120993</v>
      </c>
      <c r="X31">
        <v>-657525730</v>
      </c>
      <c r="Y31">
        <v>-483853187</v>
      </c>
      <c r="Z31">
        <v>-493030812</v>
      </c>
      <c r="AA31">
        <v>-408552529</v>
      </c>
      <c r="AB31">
        <v>-208182017</v>
      </c>
      <c r="AC31">
        <v>-842003793</v>
      </c>
      <c r="AD31">
        <v>-704297621</v>
      </c>
      <c r="AE31">
        <v>-809180319</v>
      </c>
      <c r="AF31">
        <v>-1385047431</v>
      </c>
      <c r="AG31">
        <v>-877201019</v>
      </c>
      <c r="AH31">
        <v>-583117829</v>
      </c>
      <c r="AI31">
        <v>-436264692</v>
      </c>
      <c r="AJ31">
        <v>-200256315</v>
      </c>
      <c r="AK31">
        <v>-159942848</v>
      </c>
      <c r="AL31">
        <v>-39358121</v>
      </c>
      <c r="AM31">
        <v>-94098952</v>
      </c>
    </row>
    <row r="32" spans="1:39" ht="15.6" x14ac:dyDescent="0.3">
      <c r="A32" t="s">
        <v>195</v>
      </c>
    </row>
    <row r="33" spans="1:39" ht="15.6" x14ac:dyDescent="0.3">
      <c r="A33" t="s">
        <v>196</v>
      </c>
      <c r="B33">
        <v>-17067601.508903287</v>
      </c>
      <c r="C33">
        <v>-26690176.508903287</v>
      </c>
      <c r="D33">
        <v>-18501411.80762022</v>
      </c>
      <c r="E33">
        <v>-37024270.933091603</v>
      </c>
      <c r="F33">
        <v>-25713664.447821781</v>
      </c>
      <c r="G33">
        <v>-29058480.617968224</v>
      </c>
      <c r="H33">
        <v>286413371.25775433</v>
      </c>
      <c r="I33">
        <v>79657929.004405275</v>
      </c>
      <c r="J33">
        <v>9569508.5346186403</v>
      </c>
      <c r="K33">
        <v>17138812.459026653</v>
      </c>
      <c r="O33">
        <v>141276887.37193045</v>
      </c>
      <c r="P33">
        <v>-177087759</v>
      </c>
      <c r="Q33">
        <v>-138312466</v>
      </c>
      <c r="R33">
        <v>-44453759</v>
      </c>
      <c r="S33">
        <v>-30015558</v>
      </c>
      <c r="T33">
        <v>-52163934</v>
      </c>
      <c r="U33">
        <v>-38668039</v>
      </c>
      <c r="V33">
        <v>83949919</v>
      </c>
      <c r="W33">
        <v>67747458</v>
      </c>
      <c r="X33">
        <v>111685270</v>
      </c>
      <c r="Y33">
        <v>80157924</v>
      </c>
      <c r="Z33">
        <v>213251678</v>
      </c>
      <c r="AA33">
        <v>144389012</v>
      </c>
      <c r="AB33">
        <v>178831527</v>
      </c>
      <c r="AC33">
        <v>-66921112</v>
      </c>
      <c r="AD33">
        <v>-313418507</v>
      </c>
      <c r="AE33">
        <v>-240426117</v>
      </c>
      <c r="AF33">
        <v>-403921254</v>
      </c>
      <c r="AG33">
        <v>-129606870</v>
      </c>
      <c r="AH33">
        <v>-127670210</v>
      </c>
      <c r="AI33">
        <v>66569265</v>
      </c>
      <c r="AJ33">
        <v>-79787563</v>
      </c>
      <c r="AK33">
        <v>-30863306</v>
      </c>
      <c r="AL33">
        <v>18399544</v>
      </c>
      <c r="AM33">
        <v>-201281021</v>
      </c>
    </row>
    <row r="34" spans="1:39" ht="15.6" x14ac:dyDescent="0.3">
      <c r="A34" t="s">
        <v>197</v>
      </c>
      <c r="K34">
        <v>0</v>
      </c>
      <c r="O34">
        <v>0</v>
      </c>
      <c r="Q34">
        <v>0</v>
      </c>
      <c r="S34">
        <v>0</v>
      </c>
    </row>
    <row r="35" spans="1:39" ht="15.6" x14ac:dyDescent="0.3">
      <c r="A35" t="s">
        <v>198</v>
      </c>
    </row>
    <row r="36" spans="1:39" ht="15.6" x14ac:dyDescent="0.3">
      <c r="A36" t="s">
        <v>199</v>
      </c>
    </row>
    <row r="37" spans="1:39" ht="15.6" x14ac:dyDescent="0.3">
      <c r="A37" t="s">
        <v>200</v>
      </c>
      <c r="B37">
        <v>-1343303133.1513119</v>
      </c>
      <c r="C37">
        <v>-491428631.15131181</v>
      </c>
      <c r="D37">
        <v>-341462031.45605761</v>
      </c>
      <c r="E37">
        <v>395075721.83391863</v>
      </c>
      <c r="F37">
        <v>15656146.147430301</v>
      </c>
      <c r="G37">
        <v>-925777332.19634187</v>
      </c>
      <c r="H37">
        <v>-788888889.3687315</v>
      </c>
      <c r="I37">
        <v>-1232072260.2084587</v>
      </c>
      <c r="J37">
        <v>-1234249612.4496403</v>
      </c>
      <c r="K37">
        <v>-1229225743.8543668</v>
      </c>
      <c r="O37">
        <v>1072352798.8412913</v>
      </c>
      <c r="P37">
        <v>168450504</v>
      </c>
      <c r="Q37">
        <v>-153454698</v>
      </c>
      <c r="R37">
        <v>-17731182</v>
      </c>
      <c r="S37">
        <v>-86930675</v>
      </c>
      <c r="T37">
        <v>-256573584</v>
      </c>
      <c r="U37">
        <v>87287891</v>
      </c>
      <c r="V37">
        <v>114648220</v>
      </c>
      <c r="W37">
        <v>189417785</v>
      </c>
      <c r="X37">
        <v>92105418</v>
      </c>
      <c r="Y37">
        <v>14029756</v>
      </c>
      <c r="Z37">
        <v>-48685921</v>
      </c>
      <c r="AA37">
        <v>-168575415</v>
      </c>
      <c r="AB37">
        <v>4695185</v>
      </c>
      <c r="AC37">
        <v>-14758540</v>
      </c>
      <c r="AD37">
        <v>24048195</v>
      </c>
      <c r="AE37">
        <v>15548018</v>
      </c>
      <c r="AF37">
        <v>-161179257</v>
      </c>
      <c r="AG37">
        <v>-21100989</v>
      </c>
      <c r="AH37">
        <v>-80968734</v>
      </c>
      <c r="AI37">
        <v>-35814327</v>
      </c>
      <c r="AJ37">
        <v>-8723569</v>
      </c>
      <c r="AK37">
        <v>-126516850</v>
      </c>
      <c r="AL37">
        <v>-104508353</v>
      </c>
      <c r="AM37">
        <v>-64551052</v>
      </c>
    </row>
    <row r="38" spans="1:39" ht="15.6" x14ac:dyDescent="0.3">
      <c r="A38" t="s">
        <v>201</v>
      </c>
    </row>
    <row r="39" spans="1:39" ht="15.6" x14ac:dyDescent="0.3">
      <c r="A39" t="s">
        <v>202</v>
      </c>
      <c r="B39">
        <v>228655753.15053487</v>
      </c>
      <c r="C39">
        <v>75165594.150534883</v>
      </c>
      <c r="D39">
        <v>312121294.7487191</v>
      </c>
      <c r="E39">
        <v>295539385.99580503</v>
      </c>
      <c r="F39">
        <v>-496682852.52671689</v>
      </c>
      <c r="G39">
        <v>-387616817.39612448</v>
      </c>
      <c r="H39">
        <v>1742957491.8077087</v>
      </c>
      <c r="I39">
        <v>391128536.73238051</v>
      </c>
      <c r="J39">
        <v>443300937.1364463</v>
      </c>
      <c r="K39">
        <v>294274706.19510162</v>
      </c>
      <c r="O39">
        <v>-280006687.81934834</v>
      </c>
      <c r="P39">
        <v>266839105</v>
      </c>
      <c r="Q39">
        <v>-20314692</v>
      </c>
      <c r="R39">
        <v>-185084405</v>
      </c>
      <c r="S39">
        <v>-179979296</v>
      </c>
      <c r="T39">
        <v>-379945668</v>
      </c>
      <c r="U39">
        <v>-254550104</v>
      </c>
      <c r="V39">
        <v>-72330862</v>
      </c>
      <c r="W39">
        <v>-43452194</v>
      </c>
      <c r="X39">
        <v>-40011131</v>
      </c>
      <c r="Y39">
        <v>-6243545</v>
      </c>
      <c r="Z39">
        <v>-33118717</v>
      </c>
      <c r="AA39">
        <v>-27571770</v>
      </c>
      <c r="AB39">
        <v>-55848155</v>
      </c>
      <c r="AC39">
        <v>-39535512</v>
      </c>
      <c r="AD39">
        <v>-30213236</v>
      </c>
      <c r="AE39">
        <v>-10774672</v>
      </c>
      <c r="AF39">
        <v>16324740</v>
      </c>
      <c r="AG39">
        <v>-5319064</v>
      </c>
      <c r="AH39">
        <v>-1897034</v>
      </c>
      <c r="AI39">
        <v>20599668</v>
      </c>
      <c r="AJ39">
        <v>79559029</v>
      </c>
      <c r="AK39">
        <v>20065193</v>
      </c>
      <c r="AL39">
        <v>46369794</v>
      </c>
      <c r="AM39">
        <v>95560048</v>
      </c>
    </row>
    <row r="40" spans="1:39" ht="15.6" x14ac:dyDescent="0.3">
      <c r="A40" t="s">
        <v>203</v>
      </c>
      <c r="B40">
        <v>-759240453.5105567</v>
      </c>
      <c r="C40">
        <v>-2053588877.5105567</v>
      </c>
      <c r="D40">
        <v>-2553601594.5369916</v>
      </c>
      <c r="E40">
        <v>3310270531.1593795</v>
      </c>
      <c r="F40">
        <v>2022123948.8466821</v>
      </c>
      <c r="G40">
        <v>4688561100.152812</v>
      </c>
      <c r="H40">
        <v>6843410530.8972235</v>
      </c>
      <c r="I40">
        <v>5512441731.464818</v>
      </c>
      <c r="J40">
        <v>4726114357.1269531</v>
      </c>
      <c r="K40">
        <v>2515181732.2694154</v>
      </c>
      <c r="O40">
        <v>272431666.00851893</v>
      </c>
      <c r="P40">
        <v>1472316308</v>
      </c>
      <c r="Q40">
        <v>1303191169</v>
      </c>
      <c r="R40">
        <v>1014265670</v>
      </c>
      <c r="S40">
        <v>1239952309</v>
      </c>
      <c r="T40">
        <v>775365758</v>
      </c>
      <c r="U40">
        <v>232437360</v>
      </c>
      <c r="V40">
        <v>82893450</v>
      </c>
      <c r="W40">
        <v>180365083</v>
      </c>
      <c r="X40">
        <v>214852164</v>
      </c>
      <c r="Y40">
        <v>326911303</v>
      </c>
      <c r="Z40">
        <v>355815329</v>
      </c>
      <c r="AA40">
        <v>77077750</v>
      </c>
      <c r="AB40">
        <v>-210857983</v>
      </c>
      <c r="AC40">
        <v>-2046308</v>
      </c>
      <c r="AD40">
        <v>-292620230</v>
      </c>
      <c r="AE40">
        <v>61929456</v>
      </c>
      <c r="AF40">
        <v>270523550</v>
      </c>
      <c r="AG40">
        <v>-65226669</v>
      </c>
      <c r="AH40">
        <v>215392020</v>
      </c>
      <c r="AI40">
        <v>145176252</v>
      </c>
      <c r="AJ40">
        <v>-59207347</v>
      </c>
      <c r="AK40">
        <v>78010944</v>
      </c>
      <c r="AL40">
        <v>-353697976</v>
      </c>
      <c r="AM40">
        <v>-50341458</v>
      </c>
    </row>
    <row r="41" spans="1:39" ht="15.6" x14ac:dyDescent="0.3">
      <c r="A41" t="s">
        <v>204</v>
      </c>
    </row>
    <row r="42" spans="1:39" ht="15.6" x14ac:dyDescent="0.3">
      <c r="A42" t="s">
        <v>205</v>
      </c>
    </row>
    <row r="43" spans="1:39" ht="15.6" x14ac:dyDescent="0.3">
      <c r="A43" t="s">
        <v>206</v>
      </c>
      <c r="Q43">
        <v>0</v>
      </c>
      <c r="S43">
        <v>0</v>
      </c>
    </row>
    <row r="44" spans="1:39" ht="15.6" x14ac:dyDescent="0.3">
      <c r="A44" t="s">
        <v>207</v>
      </c>
      <c r="B44">
        <v>240852729.20237803</v>
      </c>
      <c r="C44">
        <v>132968147.202378</v>
      </c>
      <c r="D44">
        <v>299859135.53935885</v>
      </c>
      <c r="E44">
        <v>670664143.06837857</v>
      </c>
      <c r="F44">
        <v>-3719433743.4145942</v>
      </c>
      <c r="G44">
        <v>-1920976969.9357688</v>
      </c>
      <c r="H44">
        <v>-2139618923.2434559</v>
      </c>
      <c r="I44">
        <v>-2686138450.4147091</v>
      </c>
      <c r="J44">
        <v>1968489690.7951508</v>
      </c>
      <c r="K44">
        <v>1348377397.8589039</v>
      </c>
      <c r="O44">
        <v>1102708789.5065451</v>
      </c>
      <c r="P44">
        <v>716913870</v>
      </c>
      <c r="Q44">
        <v>824686642</v>
      </c>
      <c r="R44">
        <v>739554388</v>
      </c>
      <c r="S44">
        <v>499897717</v>
      </c>
      <c r="T44">
        <v>28845533</v>
      </c>
      <c r="U44">
        <v>51011085</v>
      </c>
      <c r="V44">
        <v>98205162</v>
      </c>
      <c r="W44">
        <v>64446847</v>
      </c>
      <c r="X44">
        <v>43097764</v>
      </c>
      <c r="Y44">
        <v>-58802330</v>
      </c>
      <c r="Z44">
        <v>-207977069</v>
      </c>
      <c r="AA44">
        <v>52154257</v>
      </c>
      <c r="AB44">
        <v>23713610</v>
      </c>
      <c r="AC44">
        <v>86381772</v>
      </c>
      <c r="AD44">
        <v>259499744</v>
      </c>
      <c r="AE44">
        <v>-47501973</v>
      </c>
      <c r="AF44">
        <v>-105535712</v>
      </c>
      <c r="AG44">
        <v>-91764760</v>
      </c>
      <c r="AH44">
        <v>24053779</v>
      </c>
      <c r="AI44">
        <v>75420844</v>
      </c>
      <c r="AJ44">
        <v>160615784</v>
      </c>
      <c r="AK44">
        <v>170401070</v>
      </c>
      <c r="AL44">
        <v>33394482</v>
      </c>
      <c r="AM44">
        <v>41012701</v>
      </c>
    </row>
    <row r="45" spans="1:39" ht="15.6" x14ac:dyDescent="0.3">
      <c r="A45" t="s">
        <v>208</v>
      </c>
    </row>
    <row r="46" spans="1:39" ht="15.6" x14ac:dyDescent="0.3">
      <c r="A46" t="s">
        <v>209</v>
      </c>
    </row>
    <row r="47" spans="1:39" ht="15.6" x14ac:dyDescent="0.3">
      <c r="A47" t="s">
        <v>210</v>
      </c>
      <c r="AI47">
        <v>0</v>
      </c>
      <c r="AM47">
        <v>0</v>
      </c>
    </row>
    <row r="48" spans="1:39" ht="15.6" x14ac:dyDescent="0.3">
      <c r="A48" t="s">
        <v>211</v>
      </c>
      <c r="B48">
        <v>-1424703016.5198941</v>
      </c>
      <c r="C48">
        <v>-1231723092.5198941</v>
      </c>
      <c r="D48">
        <v>-2650898581.4632797</v>
      </c>
      <c r="E48">
        <v>-845995252.28918242</v>
      </c>
      <c r="F48">
        <v>-889908277.20142031</v>
      </c>
      <c r="G48">
        <v>-3011077855.185781</v>
      </c>
      <c r="H48">
        <v>-3472025340.8772421</v>
      </c>
      <c r="I48">
        <v>-5262006195.4134903</v>
      </c>
      <c r="J48">
        <v>-3730950484.9878626</v>
      </c>
      <c r="K48">
        <v>-2953097830.380652</v>
      </c>
      <c r="O48">
        <v>-3545049591.7051058</v>
      </c>
      <c r="P48">
        <v>-841762622</v>
      </c>
      <c r="Q48">
        <v>-854911742</v>
      </c>
      <c r="R48">
        <v>-392011647</v>
      </c>
      <c r="S48">
        <v>-287447898</v>
      </c>
      <c r="T48">
        <v>-34958140</v>
      </c>
      <c r="U48">
        <v>-35347237</v>
      </c>
      <c r="V48">
        <v>7789795</v>
      </c>
      <c r="W48">
        <v>19552167</v>
      </c>
      <c r="X48">
        <v>36842080</v>
      </c>
      <c r="Y48">
        <v>92397360</v>
      </c>
      <c r="Z48">
        <v>78913494</v>
      </c>
      <c r="AA48">
        <v>51324958</v>
      </c>
      <c r="AB48">
        <v>87447149</v>
      </c>
      <c r="AC48">
        <v>46655971</v>
      </c>
      <c r="AD48">
        <v>46500253</v>
      </c>
      <c r="AE48">
        <v>45966884</v>
      </c>
      <c r="AF48">
        <v>-27565649</v>
      </c>
      <c r="AG48">
        <v>22359235</v>
      </c>
      <c r="AH48">
        <v>115286199</v>
      </c>
      <c r="AI48">
        <v>110189745</v>
      </c>
      <c r="AJ48">
        <v>188986622</v>
      </c>
      <c r="AK48">
        <v>140588732</v>
      </c>
      <c r="AL48">
        <v>52285135</v>
      </c>
      <c r="AM48">
        <v>70417610</v>
      </c>
    </row>
    <row r="49" spans="1:39" ht="15.6" x14ac:dyDescent="0.3">
      <c r="A49" t="s">
        <v>212</v>
      </c>
      <c r="B49">
        <v>14611956342.815613</v>
      </c>
      <c r="C49">
        <v>15754484360.815613</v>
      </c>
      <c r="D49">
        <v>7810073566.4016037</v>
      </c>
      <c r="E49">
        <v>16612388839.881123</v>
      </c>
      <c r="F49">
        <v>19859828154.860966</v>
      </c>
      <c r="G49">
        <v>19150916688.926857</v>
      </c>
      <c r="H49">
        <v>23531055515.098969</v>
      </c>
      <c r="I49">
        <v>14708246007.80324</v>
      </c>
      <c r="J49">
        <v>11595229902.917608</v>
      </c>
      <c r="K49">
        <v>12265536321.367008</v>
      </c>
      <c r="O49">
        <v>3691213251.6881871</v>
      </c>
      <c r="P49">
        <v>1924153861</v>
      </c>
      <c r="Q49">
        <v>1739543875</v>
      </c>
      <c r="R49">
        <v>861018527</v>
      </c>
      <c r="S49">
        <v>1055040932</v>
      </c>
      <c r="T49">
        <v>650104075</v>
      </c>
      <c r="U49">
        <v>397104073</v>
      </c>
      <c r="V49">
        <v>1334079393</v>
      </c>
      <c r="W49">
        <v>1262529930</v>
      </c>
      <c r="X49">
        <v>1052981234</v>
      </c>
      <c r="Y49">
        <v>1122987870</v>
      </c>
      <c r="Z49">
        <v>805116723</v>
      </c>
      <c r="AA49">
        <v>829915357</v>
      </c>
      <c r="AB49">
        <v>1302574644</v>
      </c>
      <c r="AC49">
        <v>768052176</v>
      </c>
      <c r="AD49">
        <v>476322254</v>
      </c>
      <c r="AE49">
        <v>151133160</v>
      </c>
      <c r="AF49">
        <v>-268559915</v>
      </c>
      <c r="AG49">
        <v>11905352</v>
      </c>
      <c r="AH49">
        <v>347449629</v>
      </c>
      <c r="AI49">
        <v>574884633</v>
      </c>
      <c r="AJ49">
        <v>474931199</v>
      </c>
      <c r="AK49">
        <v>318305450</v>
      </c>
      <c r="AL49">
        <v>-139388101</v>
      </c>
      <c r="AM49">
        <v>119208923</v>
      </c>
    </row>
    <row r="50" spans="1:39" ht="15.6" x14ac:dyDescent="0.3">
      <c r="A50" t="s">
        <v>213</v>
      </c>
    </row>
    <row r="51" spans="1:39" ht="15.6" x14ac:dyDescent="0.3">
      <c r="A51" t="s">
        <v>214</v>
      </c>
    </row>
    <row r="52" spans="1:39" ht="15.6" x14ac:dyDescent="0.3">
      <c r="A52" t="s">
        <v>215</v>
      </c>
      <c r="AB52">
        <v>-658207809</v>
      </c>
      <c r="AD52">
        <v>-524136985</v>
      </c>
      <c r="AE52">
        <v>-474668262</v>
      </c>
      <c r="AF52">
        <v>-415732638</v>
      </c>
      <c r="AG52">
        <v>-368287321</v>
      </c>
      <c r="AH52">
        <v>-410563708</v>
      </c>
      <c r="AI52">
        <v>-377907056</v>
      </c>
      <c r="AJ52">
        <v>-388359017</v>
      </c>
      <c r="AK52">
        <v>-419958817</v>
      </c>
      <c r="AL52">
        <v>-318253640</v>
      </c>
      <c r="AM52">
        <v>-298735308</v>
      </c>
    </row>
    <row r="53" spans="1:39" ht="15.6" x14ac:dyDescent="0.3">
      <c r="A53" t="s">
        <v>216</v>
      </c>
      <c r="AB53">
        <v>153168923</v>
      </c>
      <c r="AC53">
        <v>157464360</v>
      </c>
      <c r="AD53">
        <v>111255402</v>
      </c>
      <c r="AE53">
        <v>84677833</v>
      </c>
      <c r="AF53">
        <v>41555389</v>
      </c>
      <c r="AG53">
        <v>42249733</v>
      </c>
      <c r="AH53">
        <v>41612063</v>
      </c>
      <c r="AI53">
        <v>37687380</v>
      </c>
      <c r="AJ53">
        <v>37378319</v>
      </c>
      <c r="AK53">
        <v>9879674</v>
      </c>
      <c r="AL53">
        <v>7485705</v>
      </c>
      <c r="AM53">
        <v>9235357</v>
      </c>
    </row>
    <row r="54" spans="1:39" ht="15.6" x14ac:dyDescent="0.3">
      <c r="A54" t="s">
        <v>217</v>
      </c>
      <c r="B54">
        <v>-3279754891.9994507</v>
      </c>
      <c r="C54">
        <v>-2756086594.9994507</v>
      </c>
      <c r="D54">
        <v>-2223925390.3628778</v>
      </c>
      <c r="E54">
        <v>-1404392010.0236292</v>
      </c>
      <c r="F54">
        <v>-875120781.82143974</v>
      </c>
      <c r="G54">
        <v>-984092727.03696489</v>
      </c>
      <c r="H54">
        <v>-1217720578.55481</v>
      </c>
      <c r="I54">
        <v>-1766133245.2856841</v>
      </c>
      <c r="J54">
        <v>-1327741218.0647137</v>
      </c>
      <c r="K54">
        <v>-1286329935.3231192</v>
      </c>
      <c r="O54">
        <v>-2279038923.1931176</v>
      </c>
      <c r="P54">
        <v>-586681376</v>
      </c>
      <c r="Q54">
        <v>-279137388</v>
      </c>
      <c r="R54">
        <v>-572104075</v>
      </c>
      <c r="S54">
        <v>-121114385</v>
      </c>
      <c r="T54">
        <v>-53357802</v>
      </c>
      <c r="U54">
        <v>-32256875</v>
      </c>
      <c r="V54">
        <v>-8406195</v>
      </c>
      <c r="W54">
        <v>-35188904</v>
      </c>
      <c r="X54">
        <v>35065570</v>
      </c>
      <c r="Y54">
        <v>36625593</v>
      </c>
      <c r="Z54">
        <v>36625593</v>
      </c>
      <c r="AA54">
        <v>-18890373</v>
      </c>
      <c r="AB54">
        <v>-77060128</v>
      </c>
      <c r="AC54">
        <v>-67608401</v>
      </c>
      <c r="AD54">
        <v>-89388568</v>
      </c>
      <c r="AE54">
        <v>-5428423</v>
      </c>
      <c r="AF54">
        <v>-7185208</v>
      </c>
      <c r="AG54">
        <v>-24881672</v>
      </c>
      <c r="AH54">
        <v>-3101505</v>
      </c>
      <c r="AI54">
        <v>-5092490</v>
      </c>
      <c r="AJ54">
        <v>-5664386</v>
      </c>
      <c r="AK54">
        <v>-5864291</v>
      </c>
      <c r="AL54">
        <v>-8488955</v>
      </c>
      <c r="AM54">
        <v>-10231295</v>
      </c>
    </row>
    <row r="55" spans="1:39" ht="15.6" x14ac:dyDescent="0.3">
      <c r="A55" t="s">
        <v>218</v>
      </c>
    </row>
    <row r="56" spans="1:39" ht="15.6" x14ac:dyDescent="0.3">
      <c r="A56" t="s">
        <v>219</v>
      </c>
    </row>
    <row r="57" spans="1:39" ht="15.6" x14ac:dyDescent="0.3">
      <c r="A57" t="s">
        <v>220</v>
      </c>
    </row>
    <row r="58" spans="1:39" ht="15.6" x14ac:dyDescent="0.3">
      <c r="A58" t="s">
        <v>221</v>
      </c>
    </row>
    <row r="59" spans="1:39" ht="15.6" x14ac:dyDescent="0.3">
      <c r="A59" t="s">
        <v>222</v>
      </c>
    </row>
    <row r="60" spans="1:39" ht="15.6" x14ac:dyDescent="0.3">
      <c r="A60" t="s">
        <v>223</v>
      </c>
    </row>
    <row r="61" spans="1:39" ht="15.6" x14ac:dyDescent="0.3">
      <c r="A61" t="s">
        <v>224</v>
      </c>
    </row>
    <row r="62" spans="1:39" ht="15.6" x14ac:dyDescent="0.3">
      <c r="A62" t="s">
        <v>225</v>
      </c>
      <c r="B62">
        <v>-14728960.758647872</v>
      </c>
      <c r="C62">
        <v>-10697959.758647872</v>
      </c>
      <c r="D62">
        <v>-3252749.113514232</v>
      </c>
      <c r="E62">
        <v>-8374110.4576124307</v>
      </c>
      <c r="F62">
        <v>-12342339.514366165</v>
      </c>
      <c r="G62">
        <v>-12743162.349489309</v>
      </c>
      <c r="H62">
        <v>-14705694.661336355</v>
      </c>
      <c r="I62">
        <v>-9795712.0888911709</v>
      </c>
      <c r="J62">
        <v>-25024104.052263096</v>
      </c>
      <c r="K62">
        <v>-27454274.587465312</v>
      </c>
      <c r="O62">
        <v>-5321497.5176026421</v>
      </c>
      <c r="P62">
        <v>-1027574</v>
      </c>
      <c r="Q62">
        <v>-607961</v>
      </c>
      <c r="S62">
        <v>-457316</v>
      </c>
      <c r="T62">
        <v>-148172</v>
      </c>
      <c r="U62">
        <v>-455307</v>
      </c>
      <c r="W62">
        <v>-693914</v>
      </c>
      <c r="X62">
        <v>-876341</v>
      </c>
      <c r="Y62">
        <v>-819582</v>
      </c>
      <c r="Z62">
        <v>-715931</v>
      </c>
      <c r="AA62">
        <v>-871681</v>
      </c>
      <c r="AB62">
        <v>-786884</v>
      </c>
      <c r="AC62">
        <v>-881725</v>
      </c>
      <c r="AD62">
        <v>-872749</v>
      </c>
      <c r="AE62">
        <v>-552968</v>
      </c>
      <c r="AF62">
        <v>-636801</v>
      </c>
      <c r="AG62">
        <v>-366273</v>
      </c>
      <c r="AH62">
        <v>-980060</v>
      </c>
      <c r="AI62">
        <v>-1199311</v>
      </c>
      <c r="AJ62">
        <v>-256167</v>
      </c>
      <c r="AK62">
        <v>-1077998</v>
      </c>
      <c r="AL62">
        <v>-575458</v>
      </c>
      <c r="AM62">
        <v>-1315962</v>
      </c>
    </row>
    <row r="63" spans="1:39" ht="15.6" x14ac:dyDescent="0.3">
      <c r="A63" t="s">
        <v>226</v>
      </c>
      <c r="C63">
        <v>-116940.74995944642</v>
      </c>
      <c r="D63">
        <v>-69228.639332514751</v>
      </c>
      <c r="E63">
        <v>-65273.460360569734</v>
      </c>
      <c r="G63">
        <v>-157796.11910514618</v>
      </c>
      <c r="H63">
        <v>-1370879.6064158306</v>
      </c>
      <c r="I63">
        <v>-1374834.7853877754</v>
      </c>
      <c r="K63">
        <v>-1282312.126643199</v>
      </c>
      <c r="R63">
        <v>-15906412</v>
      </c>
      <c r="S63">
        <v>-15939084</v>
      </c>
    </row>
    <row r="64" spans="1:39" ht="15.6" x14ac:dyDescent="0.3">
      <c r="A64" t="s">
        <v>227</v>
      </c>
    </row>
    <row r="65" spans="1:39" ht="15.6" x14ac:dyDescent="0.3">
      <c r="A65" t="s">
        <v>228</v>
      </c>
    </row>
    <row r="66" spans="1:39" ht="15.6" x14ac:dyDescent="0.3"/>
    <row r="67" spans="1:39" ht="15.6" x14ac:dyDescent="0.3">
      <c r="A67" t="s">
        <v>229</v>
      </c>
      <c r="B67">
        <v>-23194651818.612629</v>
      </c>
      <c r="C67">
        <v>-23221835646.612629</v>
      </c>
      <c r="D67">
        <v>-17786703629.631645</v>
      </c>
      <c r="E67">
        <v>-24125778898.48954</v>
      </c>
      <c r="F67">
        <v>-22096148633.008568</v>
      </c>
      <c r="G67">
        <v>-26800022342.769367</v>
      </c>
      <c r="H67">
        <v>-32063125187.782726</v>
      </c>
      <c r="I67">
        <v>-21140213900.287411</v>
      </c>
      <c r="J67">
        <v>-18666981919.749367</v>
      </c>
      <c r="K67">
        <v>-8775326114.6764565</v>
      </c>
      <c r="O67">
        <v>-5996024681.7888641</v>
      </c>
      <c r="P67">
        <v>-3177310016</v>
      </c>
      <c r="Q67">
        <v>-3290722974</v>
      </c>
      <c r="R67">
        <v>-3369890357</v>
      </c>
      <c r="S67">
        <v>-2747095115</v>
      </c>
      <c r="T67">
        <v>-1323559081</v>
      </c>
      <c r="U67">
        <v>-851249406</v>
      </c>
      <c r="V67">
        <v>-440890075</v>
      </c>
      <c r="W67">
        <v>-235838342</v>
      </c>
      <c r="X67">
        <v>-264328479</v>
      </c>
      <c r="Y67">
        <v>-240213416</v>
      </c>
      <c r="Z67">
        <v>-228134833</v>
      </c>
      <c r="AA67">
        <v>-151758695</v>
      </c>
      <c r="AB67">
        <v>-140972265</v>
      </c>
      <c r="AC67">
        <v>-191284614</v>
      </c>
      <c r="AD67">
        <v>-137199070</v>
      </c>
      <c r="AE67">
        <v>-141513174</v>
      </c>
      <c r="AF67">
        <v>250917504</v>
      </c>
      <c r="AG67">
        <v>353075622</v>
      </c>
      <c r="AH67">
        <v>340883260</v>
      </c>
      <c r="AI67">
        <v>242383084</v>
      </c>
      <c r="AJ67">
        <v>61256261</v>
      </c>
      <c r="AK67">
        <v>-30042038</v>
      </c>
      <c r="AL67">
        <v>-74773290</v>
      </c>
      <c r="AM67">
        <v>-43221774</v>
      </c>
    </row>
    <row r="68" spans="1:39" ht="15.6" x14ac:dyDescent="0.3">
      <c r="A68" t="s">
        <v>230</v>
      </c>
      <c r="C68">
        <v>0</v>
      </c>
      <c r="D68">
        <v>-83277600.571843863</v>
      </c>
      <c r="E68">
        <v>1328470437.7591887</v>
      </c>
      <c r="G68">
        <v>1328470437.7591887</v>
      </c>
      <c r="H68">
        <v>1411748038.3310325</v>
      </c>
      <c r="K68">
        <v>0</v>
      </c>
      <c r="AF68">
        <v>353475110</v>
      </c>
      <c r="AI68">
        <v>494676970</v>
      </c>
      <c r="AJ68">
        <v>141935428</v>
      </c>
      <c r="AK68">
        <v>33545783</v>
      </c>
      <c r="AM68">
        <v>23617991</v>
      </c>
    </row>
    <row r="69" spans="1:39" ht="15.6" x14ac:dyDescent="0.3">
      <c r="A69" t="s">
        <v>231</v>
      </c>
    </row>
    <row r="70" spans="1:39" ht="15.6" x14ac:dyDescent="0.3">
      <c r="A70" t="s">
        <v>232</v>
      </c>
      <c r="R70">
        <v>0</v>
      </c>
      <c r="S70">
        <v>0</v>
      </c>
      <c r="W70">
        <v>0</v>
      </c>
      <c r="AA70">
        <v>-29062000</v>
      </c>
    </row>
    <row r="71" spans="1:39" ht="15.6" x14ac:dyDescent="0.3">
      <c r="A71" t="s">
        <v>233</v>
      </c>
    </row>
    <row r="72" spans="1:39" ht="15.6" x14ac:dyDescent="0.3">
      <c r="A72" t="s">
        <v>234</v>
      </c>
    </row>
    <row r="73" spans="1:39" ht="15.6" x14ac:dyDescent="0.3">
      <c r="A73" t="s">
        <v>235</v>
      </c>
    </row>
    <row r="74" spans="1:39" ht="15.6" x14ac:dyDescent="0.3">
      <c r="A74" t="s">
        <v>236</v>
      </c>
    </row>
    <row r="75" spans="1:39" ht="15.6" x14ac:dyDescent="0.3">
      <c r="A75" t="s">
        <v>223</v>
      </c>
    </row>
    <row r="76" spans="1:39" ht="15.6" x14ac:dyDescent="0.3">
      <c r="A76" t="s">
        <v>222</v>
      </c>
    </row>
    <row r="77" spans="1:39" ht="15.6" x14ac:dyDescent="0.3">
      <c r="A77" t="s">
        <v>237</v>
      </c>
      <c r="B77">
        <v>286440365.29291922</v>
      </c>
      <c r="C77">
        <v>278765340.29291922</v>
      </c>
      <c r="D77">
        <v>-17262769.56302774</v>
      </c>
      <c r="E77">
        <v>-23891671.79964032</v>
      </c>
      <c r="F77">
        <v>8156790.816692898</v>
      </c>
      <c r="G77">
        <v>7782262.8095347863</v>
      </c>
      <c r="H77">
        <v>96611112.616114497</v>
      </c>
      <c r="I77">
        <v>52349891.235370509</v>
      </c>
      <c r="J77">
        <v>17858323.257397462</v>
      </c>
      <c r="K77">
        <v>159392784.27212757</v>
      </c>
      <c r="O77">
        <v>233637.29066678142</v>
      </c>
      <c r="Q77">
        <v>2127879</v>
      </c>
      <c r="R77">
        <v>2127879</v>
      </c>
      <c r="S77">
        <v>2127879</v>
      </c>
      <c r="U77">
        <v>19017562</v>
      </c>
      <c r="V77">
        <v>19028773</v>
      </c>
      <c r="W77">
        <v>19227997</v>
      </c>
      <c r="X77">
        <v>594394</v>
      </c>
      <c r="Y77">
        <v>587458</v>
      </c>
      <c r="Z77">
        <v>576247</v>
      </c>
      <c r="AA77">
        <v>377023</v>
      </c>
      <c r="AB77">
        <v>5335490</v>
      </c>
      <c r="AC77">
        <v>-1540740</v>
      </c>
      <c r="AD77">
        <v>41846466</v>
      </c>
      <c r="AE77">
        <v>44813488</v>
      </c>
      <c r="AF77">
        <v>52677402</v>
      </c>
      <c r="AG77">
        <v>49494609</v>
      </c>
      <c r="AH77">
        <v>6344159</v>
      </c>
      <c r="AI77">
        <v>5674089</v>
      </c>
      <c r="AJ77">
        <v>191298464</v>
      </c>
      <c r="AK77">
        <v>201163747</v>
      </c>
      <c r="AL77">
        <v>165890397</v>
      </c>
      <c r="AM77">
        <v>198630039</v>
      </c>
    </row>
    <row r="78" spans="1:39" ht="15.6" x14ac:dyDescent="0.3">
      <c r="A78" t="s">
        <v>238</v>
      </c>
      <c r="B78">
        <v>-20645615627.351002</v>
      </c>
      <c r="C78">
        <v>-20157572840.351002</v>
      </c>
      <c r="D78">
        <v>-21499011263.802231</v>
      </c>
      <c r="E78">
        <v>-27284729962.682076</v>
      </c>
      <c r="F78">
        <v>-26679545721.095325</v>
      </c>
      <c r="G78">
        <v>-26706075501.199429</v>
      </c>
      <c r="H78">
        <v>-19977024912.423359</v>
      </c>
      <c r="I78">
        <v>-11449227618.102489</v>
      </c>
      <c r="J78">
        <v>-7555548610.3239431</v>
      </c>
      <c r="K78">
        <v>-3947265076.9152975</v>
      </c>
      <c r="O78">
        <v>-6978197055.0017853</v>
      </c>
      <c r="P78">
        <v>-3179437895</v>
      </c>
      <c r="Q78">
        <v>-3292850853</v>
      </c>
      <c r="R78">
        <v>-3372018236</v>
      </c>
      <c r="S78">
        <v>-2749222994</v>
      </c>
      <c r="T78">
        <v>-1342569707</v>
      </c>
      <c r="U78">
        <v>-870266968</v>
      </c>
      <c r="V78">
        <v>-459918848</v>
      </c>
      <c r="W78">
        <v>-255066339</v>
      </c>
      <c r="X78">
        <v>-235860873</v>
      </c>
      <c r="Y78">
        <v>-211738874</v>
      </c>
      <c r="Z78">
        <v>-199649080</v>
      </c>
      <c r="AA78">
        <v>-123073718</v>
      </c>
      <c r="AB78">
        <v>-145574187</v>
      </c>
      <c r="AC78">
        <v>-189743874</v>
      </c>
      <c r="AD78">
        <v>-179045536</v>
      </c>
      <c r="AE78">
        <v>-186326662</v>
      </c>
      <c r="AF78">
        <v>-155235008</v>
      </c>
      <c r="AG78">
        <v>-157550174</v>
      </c>
      <c r="AH78">
        <v>-215025094</v>
      </c>
      <c r="AI78">
        <v>-330033991</v>
      </c>
      <c r="AJ78">
        <v>-344043647</v>
      </c>
      <c r="AK78">
        <v>-336817584</v>
      </c>
      <c r="AL78">
        <v>-281460469</v>
      </c>
      <c r="AM78">
        <v>-265469804</v>
      </c>
    </row>
    <row r="79" spans="1:39" ht="15.6" x14ac:dyDescent="0.3">
      <c r="A79" t="s">
        <v>239</v>
      </c>
    </row>
    <row r="80" spans="1:39" ht="15.6" x14ac:dyDescent="0.3">
      <c r="A80" t="s">
        <v>240</v>
      </c>
    </row>
    <row r="81" spans="1:39" ht="15.6" x14ac:dyDescent="0.3">
      <c r="A81" t="s">
        <v>241</v>
      </c>
      <c r="AH81">
        <v>134446301</v>
      </c>
      <c r="AI81">
        <v>72066016</v>
      </c>
      <c r="AJ81">
        <v>72066016</v>
      </c>
      <c r="AM81">
        <v>0</v>
      </c>
    </row>
    <row r="82" spans="1:39" ht="15.6" x14ac:dyDescent="0.3">
      <c r="A82" t="s">
        <v>242</v>
      </c>
    </row>
    <row r="83" spans="1:39" ht="15.6" x14ac:dyDescent="0.3">
      <c r="A83" t="s">
        <v>243</v>
      </c>
    </row>
    <row r="84" spans="1:39" ht="15.6" x14ac:dyDescent="0.3">
      <c r="A84" t="s">
        <v>244</v>
      </c>
    </row>
    <row r="85" spans="1:39" ht="15.6" x14ac:dyDescent="0.3">
      <c r="A85" t="s">
        <v>245</v>
      </c>
    </row>
    <row r="86" spans="1:39" ht="15.6" x14ac:dyDescent="0.3">
      <c r="A86" t="s">
        <v>246</v>
      </c>
    </row>
    <row r="87" spans="1:39" ht="15.6" x14ac:dyDescent="0.3">
      <c r="A87" t="s">
        <v>247</v>
      </c>
      <c r="B87">
        <v>-2835476556.5545454</v>
      </c>
      <c r="C87">
        <v>-3343028146.5545454</v>
      </c>
      <c r="D87">
        <v>2550689686.5485768</v>
      </c>
      <c r="E87">
        <v>2050859781.0829659</v>
      </c>
      <c r="F87">
        <v>667706183.40691519</v>
      </c>
      <c r="G87">
        <v>-2692357859.8955455</v>
      </c>
      <c r="H87">
        <v>-12409342275.784491</v>
      </c>
      <c r="I87">
        <v>-10016864823.505135</v>
      </c>
      <c r="J87">
        <v>-8627269123.8137226</v>
      </c>
      <c r="K87">
        <v>-3802336671.5112624</v>
      </c>
      <c r="O87">
        <v>0</v>
      </c>
      <c r="Q87">
        <v>0</v>
      </c>
      <c r="S87">
        <v>0</v>
      </c>
    </row>
    <row r="88" spans="1:39" ht="15.6" x14ac:dyDescent="0.3">
      <c r="A88" t="s">
        <v>248</v>
      </c>
      <c r="Q88">
        <v>0</v>
      </c>
      <c r="S88">
        <v>0</v>
      </c>
    </row>
    <row r="89" spans="1:39" ht="15.6" x14ac:dyDescent="0.3">
      <c r="A89" t="s">
        <v>249</v>
      </c>
    </row>
    <row r="90" spans="1:39" ht="15.6" x14ac:dyDescent="0.3">
      <c r="A90" t="s">
        <v>250</v>
      </c>
    </row>
    <row r="91" spans="1:39" ht="15.6" x14ac:dyDescent="0.3">
      <c r="A91" t="s">
        <v>251</v>
      </c>
    </row>
    <row r="92" spans="1:39" ht="15.6" x14ac:dyDescent="0.3">
      <c r="A92" t="s">
        <v>214</v>
      </c>
    </row>
    <row r="93" spans="1:39" ht="15.6" x14ac:dyDescent="0.3">
      <c r="A93" t="s">
        <v>215</v>
      </c>
    </row>
    <row r="94" spans="1:39" ht="15.6" x14ac:dyDescent="0.3">
      <c r="A94" t="s">
        <v>216</v>
      </c>
    </row>
    <row r="95" spans="1:39" ht="15.6" x14ac:dyDescent="0.3">
      <c r="A95" t="s">
        <v>218</v>
      </c>
    </row>
    <row r="96" spans="1:39" ht="15.6" x14ac:dyDescent="0.3">
      <c r="A96" t="s">
        <v>219</v>
      </c>
    </row>
    <row r="97" spans="1:39" ht="15.6" x14ac:dyDescent="0.3">
      <c r="A97" t="s">
        <v>217</v>
      </c>
    </row>
    <row r="98" spans="1:39" ht="15.6" x14ac:dyDescent="0.3">
      <c r="A98" t="s">
        <v>227</v>
      </c>
      <c r="C98">
        <v>0</v>
      </c>
      <c r="E98">
        <v>-196487482.84998035</v>
      </c>
      <c r="G98">
        <v>1262158317.7568834</v>
      </c>
      <c r="K98">
        <v>-1185117150.5220242</v>
      </c>
      <c r="O98">
        <v>981938735.92225349</v>
      </c>
    </row>
    <row r="99" spans="1:39" ht="15.6" x14ac:dyDescent="0.3">
      <c r="A99" t="s">
        <v>228</v>
      </c>
    </row>
    <row r="100" spans="1:39" ht="15.6" x14ac:dyDescent="0.3"/>
    <row r="101" spans="1:39" ht="15.6" x14ac:dyDescent="0.3">
      <c r="A101" t="s">
        <v>252</v>
      </c>
      <c r="B101">
        <v>13283887858.398796</v>
      </c>
      <c r="C101">
        <v>16256664072.398796</v>
      </c>
      <c r="D101">
        <v>20556449590.364758</v>
      </c>
      <c r="E101">
        <v>15443824502.841547</v>
      </c>
      <c r="F101">
        <v>5223711085.4633589</v>
      </c>
      <c r="G101">
        <v>9019312098.796051</v>
      </c>
      <c r="H101">
        <v>8342180480.9182224</v>
      </c>
      <c r="I101">
        <v>8671110512.427412</v>
      </c>
      <c r="J101">
        <v>7249973181.0002975</v>
      </c>
      <c r="K101">
        <v>-2477887741.9126039</v>
      </c>
      <c r="O101">
        <v>6017829906.9681187</v>
      </c>
      <c r="P101">
        <v>2306588395</v>
      </c>
      <c r="Q101">
        <v>1618618830</v>
      </c>
      <c r="R101">
        <v>3339466750</v>
      </c>
      <c r="S101">
        <v>2040315356</v>
      </c>
      <c r="T101">
        <v>816248609</v>
      </c>
      <c r="U101">
        <v>489182821</v>
      </c>
      <c r="V101">
        <v>-1148900786</v>
      </c>
      <c r="W101">
        <v>-795668105</v>
      </c>
      <c r="X101">
        <v>-1061765010</v>
      </c>
      <c r="Y101">
        <v>-464368458</v>
      </c>
      <c r="Z101">
        <v>-544556639</v>
      </c>
      <c r="AA101">
        <v>-589758517</v>
      </c>
      <c r="AB101">
        <v>-471312682</v>
      </c>
      <c r="AC101">
        <v>-303288708</v>
      </c>
      <c r="AD101">
        <v>289597949</v>
      </c>
      <c r="AE101">
        <v>379800405</v>
      </c>
      <c r="AF101">
        <v>408362453</v>
      </c>
      <c r="AG101">
        <v>-200148663</v>
      </c>
      <c r="AH101">
        <v>-347991932</v>
      </c>
      <c r="AI101">
        <v>-452818197</v>
      </c>
      <c r="AJ101">
        <v>-233062336</v>
      </c>
      <c r="AK101">
        <v>249936255</v>
      </c>
      <c r="AL101">
        <v>304787204</v>
      </c>
      <c r="AM101">
        <v>235663991</v>
      </c>
    </row>
    <row r="102" spans="1:39" ht="15.6" x14ac:dyDescent="0.3">
      <c r="A102" t="s">
        <v>253</v>
      </c>
    </row>
    <row r="103" spans="1:39" ht="15.6" x14ac:dyDescent="0.3">
      <c r="A103" t="s">
        <v>254</v>
      </c>
    </row>
    <row r="104" spans="1:39" ht="15.6" x14ac:dyDescent="0.3">
      <c r="A104" t="s">
        <v>255</v>
      </c>
      <c r="Q104">
        <v>0</v>
      </c>
      <c r="S104">
        <v>0</v>
      </c>
    </row>
    <row r="105" spans="1:39" ht="15.6" x14ac:dyDescent="0.3">
      <c r="A105" t="s">
        <v>256</v>
      </c>
    </row>
    <row r="106" spans="1:39" ht="15.6" x14ac:dyDescent="0.3">
      <c r="A106" t="s">
        <v>257</v>
      </c>
      <c r="K106">
        <v>-89285944.065448582</v>
      </c>
      <c r="O106">
        <v>0</v>
      </c>
      <c r="Q106">
        <v>0</v>
      </c>
      <c r="S106">
        <v>0</v>
      </c>
    </row>
    <row r="107" spans="1:39" ht="15.6" x14ac:dyDescent="0.3">
      <c r="A107" t="s">
        <v>258</v>
      </c>
      <c r="K107">
        <v>0</v>
      </c>
      <c r="Q107">
        <v>0</v>
      </c>
      <c r="S107">
        <v>0</v>
      </c>
    </row>
    <row r="108" spans="1:39" ht="15.6" x14ac:dyDescent="0.3">
      <c r="A108" t="s">
        <v>259</v>
      </c>
    </row>
    <row r="109" spans="1:39" ht="15.6" x14ac:dyDescent="0.3">
      <c r="A109" t="s">
        <v>260</v>
      </c>
      <c r="B109">
        <v>31195453090.738022</v>
      </c>
      <c r="C109">
        <v>36068090384.738022</v>
      </c>
      <c r="D109">
        <v>40051913904.604919</v>
      </c>
      <c r="E109">
        <v>36403080299.941345</v>
      </c>
      <c r="F109">
        <v>29215567686.299393</v>
      </c>
      <c r="G109">
        <v>33222252276.391151</v>
      </c>
      <c r="H109">
        <v>30588602247.649452</v>
      </c>
      <c r="I109">
        <v>29607395806.781044</v>
      </c>
      <c r="J109">
        <v>26642506522.650452</v>
      </c>
      <c r="K109">
        <v>16713818268.382948</v>
      </c>
      <c r="O109">
        <v>19185964185.729164</v>
      </c>
      <c r="P109">
        <v>7137770923</v>
      </c>
      <c r="Q109">
        <v>4984331144</v>
      </c>
      <c r="R109">
        <v>5790821358</v>
      </c>
      <c r="S109">
        <v>5151436462</v>
      </c>
      <c r="T109">
        <v>2111990950</v>
      </c>
      <c r="U109">
        <v>3247228337</v>
      </c>
      <c r="V109">
        <v>1870309998</v>
      </c>
      <c r="W109">
        <v>2875827846</v>
      </c>
      <c r="X109">
        <v>4463863129</v>
      </c>
      <c r="Y109">
        <v>4005883292</v>
      </c>
      <c r="Z109">
        <v>4047755904</v>
      </c>
      <c r="AA109">
        <v>3070561746</v>
      </c>
      <c r="AB109">
        <v>2558462027</v>
      </c>
      <c r="AC109">
        <v>2293493277</v>
      </c>
      <c r="AD109">
        <v>2496385424</v>
      </c>
      <c r="AE109">
        <v>2898822734</v>
      </c>
      <c r="AG109">
        <v>4279448615</v>
      </c>
      <c r="AH109">
        <v>3528693908</v>
      </c>
      <c r="AI109">
        <v>2693723417</v>
      </c>
      <c r="AM109">
        <v>797121713</v>
      </c>
    </row>
    <row r="110" spans="1:39" ht="15.6" x14ac:dyDescent="0.3">
      <c r="A110" t="s">
        <v>261</v>
      </c>
      <c r="B110">
        <v>-16351473472.135563</v>
      </c>
      <c r="C110">
        <v>-18345357959.135563</v>
      </c>
      <c r="D110">
        <v>-18542234526.214058</v>
      </c>
      <c r="E110">
        <v>-19197415996.099861</v>
      </c>
      <c r="F110">
        <v>-19004056730.49596</v>
      </c>
      <c r="G110">
        <v>-19134197796.376663</v>
      </c>
      <c r="H110">
        <v>-16810713587.661587</v>
      </c>
      <c r="I110">
        <v>-16425351946.433241</v>
      </c>
      <c r="J110">
        <v>-15645166779.836689</v>
      </c>
      <c r="K110">
        <v>-14945478216.700363</v>
      </c>
      <c r="O110">
        <v>-8813627761.7915764</v>
      </c>
      <c r="P110">
        <v>-3855362962</v>
      </c>
      <c r="Q110">
        <v>-3036422858</v>
      </c>
      <c r="R110">
        <v>-2623341079</v>
      </c>
      <c r="S110">
        <v>-2802385561</v>
      </c>
      <c r="T110">
        <v>-960170638</v>
      </c>
      <c r="U110">
        <v>-2466223708</v>
      </c>
      <c r="V110">
        <v>-2705510594</v>
      </c>
      <c r="W110">
        <v>-3326659661</v>
      </c>
      <c r="X110">
        <v>-4917984357</v>
      </c>
      <c r="Y110">
        <v>-4209867741</v>
      </c>
      <c r="Z110">
        <v>-4115671245</v>
      </c>
      <c r="AA110">
        <v>-3302973642</v>
      </c>
      <c r="AB110">
        <v>-3082174575</v>
      </c>
      <c r="AC110">
        <v>-2385715916</v>
      </c>
      <c r="AD110">
        <v>-2251810606</v>
      </c>
      <c r="AE110">
        <v>-2579670969</v>
      </c>
      <c r="AF110">
        <v>-4895721981</v>
      </c>
      <c r="AH110">
        <v>-3883703585</v>
      </c>
      <c r="AI110">
        <v>-3151247536</v>
      </c>
      <c r="AJ110">
        <v>-867791785</v>
      </c>
      <c r="AL110">
        <v>-472331092</v>
      </c>
      <c r="AM110">
        <v>-572954254</v>
      </c>
    </row>
    <row r="111" spans="1:39" ht="15.6" x14ac:dyDescent="0.3">
      <c r="A111" t="s">
        <v>262</v>
      </c>
    </row>
    <row r="112" spans="1:39" ht="15.6" x14ac:dyDescent="0.3">
      <c r="A112" t="s">
        <v>263</v>
      </c>
    </row>
    <row r="113" spans="1:39" ht="15.6" x14ac:dyDescent="0.3">
      <c r="A113" t="s">
        <v>264</v>
      </c>
      <c r="B113">
        <v>-272391178.16471583</v>
      </c>
      <c r="C113">
        <v>-258686639.16471583</v>
      </c>
      <c r="D113">
        <v>-134190048.81666297</v>
      </c>
      <c r="E113">
        <v>-283803932.12387812</v>
      </c>
      <c r="F113">
        <v>-341983756.36758226</v>
      </c>
      <c r="G113">
        <v>-362540106.09502912</v>
      </c>
      <c r="H113">
        <v>-586445133.85171771</v>
      </c>
      <c r="I113">
        <v>-493842399.63220346</v>
      </c>
      <c r="J113">
        <v>-233852181.08227795</v>
      </c>
      <c r="K113">
        <v>-329404811.4924587</v>
      </c>
      <c r="O113">
        <v>-177870439.28044835</v>
      </c>
      <c r="P113">
        <v>-11025387</v>
      </c>
      <c r="Q113">
        <v>-10787871</v>
      </c>
      <c r="R113">
        <v>-13782326</v>
      </c>
      <c r="S113">
        <v>-6491609</v>
      </c>
      <c r="T113">
        <v>-20550955</v>
      </c>
      <c r="U113">
        <v>-13065114</v>
      </c>
      <c r="V113">
        <v>-11206053</v>
      </c>
      <c r="W113">
        <v>-11480377</v>
      </c>
      <c r="X113">
        <v>-2212953</v>
      </c>
      <c r="Y113">
        <v>-3038464</v>
      </c>
      <c r="AA113">
        <v>-628699</v>
      </c>
    </row>
    <row r="114" spans="1:39" ht="15.6" x14ac:dyDescent="0.3">
      <c r="A114" t="s">
        <v>249</v>
      </c>
      <c r="AB114">
        <v>56916080</v>
      </c>
      <c r="AE114">
        <v>60648640</v>
      </c>
    </row>
    <row r="115" spans="1:39" ht="15.6" x14ac:dyDescent="0.3">
      <c r="A115" t="s">
        <v>250</v>
      </c>
      <c r="AH115">
        <v>7017745</v>
      </c>
      <c r="AI115">
        <v>4705922</v>
      </c>
      <c r="AM115">
        <v>11496532</v>
      </c>
    </row>
    <row r="116" spans="1:39" ht="15.6" x14ac:dyDescent="0.3">
      <c r="A116" t="s">
        <v>251</v>
      </c>
    </row>
    <row r="117" spans="1:39" ht="15.6" x14ac:dyDescent="0.3">
      <c r="A117" t="s">
        <v>213</v>
      </c>
      <c r="C117">
        <v>0</v>
      </c>
      <c r="D117">
        <v>192097.91776132584</v>
      </c>
      <c r="E117">
        <v>73883.19842004776</v>
      </c>
      <c r="G117">
        <v>-2664739705.1817513</v>
      </c>
      <c r="H117">
        <v>-2665056488.2324481</v>
      </c>
      <c r="I117">
        <v>-2664789610.303659</v>
      </c>
      <c r="J117">
        <v>-2973068508.656497</v>
      </c>
      <c r="K117">
        <v>-2973068508.656497</v>
      </c>
      <c r="O117">
        <v>-2703809674.4877963</v>
      </c>
    </row>
    <row r="118" spans="1:39" ht="15.6" x14ac:dyDescent="0.3">
      <c r="A118" t="s">
        <v>215</v>
      </c>
      <c r="B118">
        <v>-1916909062.6336944</v>
      </c>
      <c r="C118">
        <v>-1930064194.6336944</v>
      </c>
      <c r="D118">
        <v>-1642289307.2456405</v>
      </c>
      <c r="E118">
        <v>-2455652096.8430929</v>
      </c>
      <c r="F118">
        <v>-3304243666.9815493</v>
      </c>
      <c r="G118">
        <v>-3757842722.2309933</v>
      </c>
      <c r="H118">
        <v>-4317366414.2102509</v>
      </c>
      <c r="I118">
        <v>-3711491700.5791984</v>
      </c>
      <c r="J118">
        <v>-2812842880.9892774</v>
      </c>
      <c r="K118">
        <v>-3045788187.9959621</v>
      </c>
      <c r="O118">
        <v>-3225420348.1087041</v>
      </c>
      <c r="P118">
        <v>-747058726</v>
      </c>
      <c r="Q118">
        <v>-706522647</v>
      </c>
      <c r="R118">
        <v>-571772805</v>
      </c>
      <c r="S118">
        <v>-521233238</v>
      </c>
      <c r="T118">
        <v>-483542522</v>
      </c>
      <c r="U118">
        <v>-472450244</v>
      </c>
      <c r="V118">
        <v>-420953096</v>
      </c>
      <c r="W118">
        <v>-475383934</v>
      </c>
      <c r="Y118">
        <v>-457630184</v>
      </c>
      <c r="AA118">
        <v>-503052145</v>
      </c>
    </row>
    <row r="119" spans="1:39" ht="15.6" x14ac:dyDescent="0.3">
      <c r="A119" t="s">
        <v>216</v>
      </c>
      <c r="B119">
        <v>629208480.5947516</v>
      </c>
      <c r="C119">
        <v>722682480.5947516</v>
      </c>
      <c r="D119">
        <v>823057470.11843884</v>
      </c>
      <c r="E119">
        <v>977542344.76861119</v>
      </c>
      <c r="F119">
        <v>1323167258.1908088</v>
      </c>
      <c r="G119">
        <v>1716380152.2893333</v>
      </c>
      <c r="H119">
        <v>2222445801.2902222</v>
      </c>
      <c r="I119">
        <v>2448476306.6601186</v>
      </c>
      <c r="J119">
        <v>2361682952.9800363</v>
      </c>
      <c r="K119">
        <v>2191319658.6151795</v>
      </c>
      <c r="O119">
        <v>1752593944.9074743</v>
      </c>
      <c r="P119">
        <v>482242547</v>
      </c>
      <c r="Q119">
        <v>388021062</v>
      </c>
      <c r="R119">
        <v>332756819</v>
      </c>
      <c r="S119">
        <v>218989302</v>
      </c>
      <c r="T119">
        <v>168521774</v>
      </c>
      <c r="U119">
        <v>193693550</v>
      </c>
      <c r="V119">
        <v>118458959</v>
      </c>
      <c r="W119">
        <v>142028021</v>
      </c>
      <c r="AA119">
        <v>146334223</v>
      </c>
    </row>
    <row r="120" spans="1:39" ht="15.6" x14ac:dyDescent="0.3">
      <c r="A120" t="s">
        <v>218</v>
      </c>
    </row>
    <row r="121" spans="1:39" ht="15.6" x14ac:dyDescent="0.3">
      <c r="A121" t="s">
        <v>219</v>
      </c>
    </row>
    <row r="122" spans="1:39" ht="15.6" x14ac:dyDescent="0.3">
      <c r="A122" t="s">
        <v>217</v>
      </c>
    </row>
    <row r="123" spans="1:39" ht="15.6" x14ac:dyDescent="0.3">
      <c r="A123" t="s">
        <v>227</v>
      </c>
    </row>
    <row r="124" spans="1:39" ht="15.6" x14ac:dyDescent="0.3">
      <c r="A124" t="s">
        <v>228</v>
      </c>
    </row>
    <row r="125" spans="1:39" ht="15.6" x14ac:dyDescent="0.3">
      <c r="A125" t="s">
        <v>265</v>
      </c>
      <c r="B125">
        <v>1406591589.0937233</v>
      </c>
      <c r="C125">
        <v>6022411291.0937233</v>
      </c>
      <c r="D125">
        <v>8352572159.0189934</v>
      </c>
      <c r="E125">
        <v>6517603050.2915258</v>
      </c>
      <c r="F125">
        <v>2099769689.8608441</v>
      </c>
      <c r="G125">
        <v>373212759.44798183</v>
      </c>
      <c r="H125">
        <v>-1423686344.5880983</v>
      </c>
      <c r="I125">
        <v>461838827.78327686</v>
      </c>
      <c r="J125">
        <v>-1175826470.0750837</v>
      </c>
      <c r="K125">
        <v>-302744057.25927997</v>
      </c>
      <c r="O125">
        <v>1428658056.1567192</v>
      </c>
      <c r="P125">
        <v>449784206</v>
      </c>
      <c r="Q125">
        <v>-228244702</v>
      </c>
      <c r="R125">
        <v>242035446</v>
      </c>
      <c r="S125">
        <v>210750388</v>
      </c>
      <c r="T125">
        <v>89287629</v>
      </c>
      <c r="U125">
        <v>2325306</v>
      </c>
      <c r="V125">
        <v>-264621573</v>
      </c>
      <c r="W125">
        <v>195140665</v>
      </c>
      <c r="X125">
        <v>178079202</v>
      </c>
      <c r="Y125">
        <v>374452235</v>
      </c>
      <c r="Z125">
        <v>191266784</v>
      </c>
      <c r="AA125">
        <v>68636091</v>
      </c>
      <c r="AB125">
        <v>107403799</v>
      </c>
      <c r="AC125">
        <v>72656277</v>
      </c>
      <c r="AD125">
        <v>125578233</v>
      </c>
      <c r="AE125">
        <v>-6551429</v>
      </c>
      <c r="AF125">
        <v>8720784</v>
      </c>
      <c r="AG125">
        <v>-186453222</v>
      </c>
      <c r="AH125">
        <v>-32692253</v>
      </c>
      <c r="AI125">
        <v>17938043</v>
      </c>
      <c r="AJ125">
        <v>-53776127</v>
      </c>
      <c r="AK125">
        <v>121178235</v>
      </c>
      <c r="AL125">
        <v>-229206535</v>
      </c>
      <c r="AM125">
        <v>10603932</v>
      </c>
    </row>
    <row r="126" spans="1:39" ht="15.6" x14ac:dyDescent="0.3">
      <c r="A126" t="s">
        <v>266</v>
      </c>
      <c r="O126">
        <v>-1155515851.874141</v>
      </c>
    </row>
    <row r="127" spans="1:39" ht="15.6" x14ac:dyDescent="0.3">
      <c r="A127" t="s">
        <v>267</v>
      </c>
      <c r="B127">
        <v>1406591589.0937233</v>
      </c>
      <c r="C127">
        <v>6022411291.0937233</v>
      </c>
      <c r="D127">
        <v>8352572159.0189934</v>
      </c>
      <c r="E127">
        <v>6517603050.2915258</v>
      </c>
      <c r="F127">
        <v>2099769689.8608441</v>
      </c>
      <c r="G127">
        <v>373212759.44798183</v>
      </c>
      <c r="H127">
        <v>-1423686344.5880983</v>
      </c>
      <c r="I127">
        <v>461838827.78327686</v>
      </c>
      <c r="J127">
        <v>-818467527.17010236</v>
      </c>
      <c r="K127">
        <v>-302744057.25927997</v>
      </c>
      <c r="O127">
        <v>273142204.28257805</v>
      </c>
      <c r="P127">
        <v>449784206</v>
      </c>
      <c r="Q127">
        <v>-228244702</v>
      </c>
      <c r="R127">
        <v>242035446</v>
      </c>
      <c r="S127">
        <v>210750388</v>
      </c>
      <c r="T127">
        <v>89287629</v>
      </c>
      <c r="U127">
        <v>2325306</v>
      </c>
      <c r="V127">
        <v>-264621573</v>
      </c>
      <c r="W127">
        <v>195140665</v>
      </c>
      <c r="X127">
        <v>178079202</v>
      </c>
      <c r="Y127">
        <v>374452235</v>
      </c>
      <c r="Z127">
        <v>191266784</v>
      </c>
      <c r="AA127">
        <v>68636091</v>
      </c>
      <c r="AB127">
        <v>107403799</v>
      </c>
      <c r="AC127">
        <v>72656277</v>
      </c>
      <c r="AD127">
        <v>125578233</v>
      </c>
      <c r="AE127">
        <v>-6551429</v>
      </c>
      <c r="AF127">
        <v>8720784</v>
      </c>
      <c r="AG127">
        <v>-186453222</v>
      </c>
      <c r="AH127">
        <v>-32692253</v>
      </c>
      <c r="AI127">
        <v>17938043</v>
      </c>
      <c r="AJ127">
        <v>-53776127</v>
      </c>
      <c r="AK127">
        <v>121178235</v>
      </c>
      <c r="AL127">
        <v>-229206535</v>
      </c>
      <c r="AM127">
        <v>10603932</v>
      </c>
    </row>
    <row r="128" spans="1:39" ht="15.6" x14ac:dyDescent="0.3">
      <c r="A128" t="s">
        <v>268</v>
      </c>
      <c r="B128">
        <v>7189210277.1210461</v>
      </c>
      <c r="C128">
        <v>1523877074.1210461</v>
      </c>
      <c r="D128">
        <v>1656252184.7774966</v>
      </c>
      <c r="E128">
        <v>1520153708.3680012</v>
      </c>
      <c r="F128">
        <v>1519561171.9667192</v>
      </c>
      <c r="G128">
        <v>1661329133.0255644</v>
      </c>
      <c r="H128">
        <v>1538529026.5287147</v>
      </c>
      <c r="I128">
        <v>1664435965.769753</v>
      </c>
      <c r="J128">
        <v>1674055293.039252</v>
      </c>
      <c r="K128">
        <v>3232454450.4198246</v>
      </c>
      <c r="O128">
        <v>2959284740.0087123</v>
      </c>
      <c r="P128">
        <v>527522186</v>
      </c>
      <c r="Q128">
        <v>527522186</v>
      </c>
      <c r="R128">
        <v>527522186</v>
      </c>
      <c r="S128">
        <v>316771798</v>
      </c>
      <c r="T128">
        <v>316899808</v>
      </c>
      <c r="U128">
        <v>315818271</v>
      </c>
      <c r="V128">
        <v>316931128</v>
      </c>
      <c r="W128">
        <v>121631133</v>
      </c>
      <c r="X128">
        <v>121503123</v>
      </c>
      <c r="Y128">
        <v>122584660</v>
      </c>
      <c r="Z128">
        <v>121440483</v>
      </c>
      <c r="AA128">
        <v>52995042</v>
      </c>
      <c r="AB128">
        <v>52995042</v>
      </c>
      <c r="AC128">
        <v>52995042</v>
      </c>
      <c r="AD128">
        <v>53026362</v>
      </c>
      <c r="AE128">
        <v>59546471</v>
      </c>
      <c r="AF128">
        <v>59546471</v>
      </c>
      <c r="AG128">
        <v>59546471</v>
      </c>
      <c r="AH128">
        <v>59546471</v>
      </c>
      <c r="AI128">
        <v>41608428</v>
      </c>
      <c r="AJ128">
        <v>41608428</v>
      </c>
      <c r="AK128">
        <v>41608428</v>
      </c>
      <c r="AL128">
        <v>41608428</v>
      </c>
      <c r="AM128">
        <v>31004496</v>
      </c>
    </row>
    <row r="129" spans="1:39" ht="15.6" x14ac:dyDescent="0.3">
      <c r="A129" t="s">
        <v>269</v>
      </c>
      <c r="B129">
        <v>7717048581.0898666</v>
      </c>
      <c r="C129">
        <v>7186653842.0898666</v>
      </c>
      <c r="D129">
        <v>9495388601.016468</v>
      </c>
      <c r="E129">
        <v>7642472730.151638</v>
      </c>
      <c r="F129">
        <v>3186196718.8423128</v>
      </c>
      <c r="G129">
        <v>1523877074.1210461</v>
      </c>
      <c r="H129">
        <v>-390109365.83424592</v>
      </c>
      <c r="I129">
        <v>1064318181.9589844</v>
      </c>
      <c r="J129">
        <v>-629112767.561306</v>
      </c>
      <c r="K129">
        <v>1661358685.0973387</v>
      </c>
      <c r="O129">
        <v>3232426944.2912908</v>
      </c>
      <c r="P129">
        <v>977306392</v>
      </c>
      <c r="Q129">
        <v>299277484</v>
      </c>
      <c r="R129">
        <v>769557632</v>
      </c>
      <c r="S129">
        <v>527522186</v>
      </c>
      <c r="T129">
        <v>406187437</v>
      </c>
      <c r="U129">
        <v>318143577</v>
      </c>
      <c r="V129">
        <v>52309555</v>
      </c>
      <c r="W129">
        <v>316771798</v>
      </c>
      <c r="X129">
        <v>299582325</v>
      </c>
      <c r="Y129">
        <v>497036895</v>
      </c>
      <c r="Z129">
        <v>312707267</v>
      </c>
      <c r="AA129">
        <v>121631133</v>
      </c>
      <c r="AB129">
        <v>160398841</v>
      </c>
      <c r="AC129">
        <v>125651319</v>
      </c>
      <c r="AD129">
        <v>178604595</v>
      </c>
      <c r="AE129">
        <v>52995042</v>
      </c>
      <c r="AF129">
        <v>68267255</v>
      </c>
      <c r="AG129">
        <v>-126906751</v>
      </c>
      <c r="AH129">
        <v>26854218</v>
      </c>
      <c r="AI129">
        <v>59546471</v>
      </c>
      <c r="AJ129">
        <v>-12167699</v>
      </c>
      <c r="AK129">
        <v>162786663</v>
      </c>
      <c r="AL129">
        <v>-187598107</v>
      </c>
      <c r="AM129">
        <v>41608428</v>
      </c>
    </row>
  </sheetData>
  <pageMargins left="0.7" right="0.7" top="0.75" bottom="0.75" header="0.3" footer="0.3"/>
  <ignoredErrors>
    <ignoredError sqref="A1:AP1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Yunus ŞENSOY</cp:lastModifiedBy>
  <dcterms:modified xsi:type="dcterms:W3CDTF">2026-06-15T21:25:29Z</dcterms:modified>
</cp:coreProperties>
</file>